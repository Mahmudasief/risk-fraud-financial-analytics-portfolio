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AML\"/>
    </mc:Choice>
  </mc:AlternateContent>
  <xr:revisionPtr revIDLastSave="0" documentId="13_ncr:1_{EBFE6DC3-BCBA-4856-BFBA-C0DDF73EF366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01_Data" sheetId="1" r:id="rId1"/>
    <sheet name="02_Scoring" sheetId="2" r:id="rId2"/>
    <sheet name="Threshhold_Test" sheetId="3" r:id="rId3"/>
    <sheet name="Dashboar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4" l="1"/>
  <c r="D36" i="4"/>
  <c r="C36" i="4"/>
  <c r="B36" i="4"/>
  <c r="E35" i="4"/>
  <c r="D35" i="4"/>
  <c r="C35" i="4"/>
  <c r="B35" i="4"/>
  <c r="B34" i="4"/>
  <c r="E34" i="4"/>
  <c r="D34" i="4"/>
  <c r="C34" i="4"/>
  <c r="K2" i="4"/>
  <c r="B2" i="4"/>
  <c r="P7" i="4"/>
  <c r="E9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2" i="3"/>
  <c r="M2" i="2" a="1"/>
  <c r="M2" i="2" s="1"/>
  <c r="M3" i="2" a="1"/>
  <c r="M3" i="2" s="1"/>
  <c r="M4" i="2" a="1"/>
  <c r="M4" i="2" s="1"/>
  <c r="M5" i="2" a="1"/>
  <c r="M5" i="2" s="1"/>
  <c r="M6" i="2" a="1"/>
  <c r="M6" i="2" s="1"/>
  <c r="M7" i="2" a="1"/>
  <c r="M7" i="2" s="1"/>
  <c r="M8" i="2" a="1"/>
  <c r="M8" i="2" s="1"/>
  <c r="M9" i="2" a="1"/>
  <c r="M9" i="2" s="1"/>
  <c r="M10" i="2" a="1"/>
  <c r="M10" i="2" s="1"/>
  <c r="M11" i="2" a="1"/>
  <c r="M11" i="2" s="1"/>
  <c r="M12" i="2" a="1"/>
  <c r="M12" i="2" s="1"/>
  <c r="M13" i="2" a="1"/>
  <c r="M13" i="2" s="1"/>
  <c r="M14" i="2" a="1"/>
  <c r="M14" i="2" s="1"/>
  <c r="M15" i="2" a="1"/>
  <c r="M15" i="2" s="1"/>
  <c r="M16" i="2" a="1"/>
  <c r="M16" i="2" s="1"/>
  <c r="M17" i="2" a="1"/>
  <c r="M17" i="2" s="1"/>
  <c r="M18" i="2" a="1"/>
  <c r="M18" i="2" s="1"/>
  <c r="M19" i="2" a="1"/>
  <c r="M19" i="2" s="1"/>
  <c r="M20" i="2" a="1"/>
  <c r="M20" i="2" s="1"/>
  <c r="M21" i="2" a="1"/>
  <c r="M21" i="2" s="1"/>
  <c r="M22" i="2" a="1"/>
  <c r="M22" i="2" s="1"/>
  <c r="M23" i="2" a="1"/>
  <c r="M23" i="2" s="1"/>
  <c r="M24" i="2" a="1"/>
  <c r="M24" i="2" s="1"/>
  <c r="M25" i="2" a="1"/>
  <c r="M25" i="2" s="1"/>
  <c r="M26" i="2" a="1"/>
  <c r="M26" i="2" s="1"/>
  <c r="M27" i="2" a="1"/>
  <c r="M27" i="2" s="1"/>
  <c r="M28" i="2" a="1"/>
  <c r="M28" i="2" s="1"/>
  <c r="M29" i="2" a="1"/>
  <c r="M29" i="2" s="1"/>
  <c r="M30" i="2" a="1"/>
  <c r="M30" i="2" s="1"/>
  <c r="M31" i="2" a="1"/>
  <c r="M31" i="2" s="1"/>
  <c r="M32" i="2" a="1"/>
  <c r="M32" i="2" s="1"/>
  <c r="M33" i="2" a="1"/>
  <c r="M33" i="2" s="1"/>
  <c r="M34" i="2" a="1"/>
  <c r="M34" i="2" s="1"/>
  <c r="M35" i="2" a="1"/>
  <c r="M35" i="2" s="1"/>
  <c r="M36" i="2" a="1"/>
  <c r="M36" i="2" s="1"/>
  <c r="M37" i="2" a="1"/>
  <c r="M37" i="2" s="1"/>
  <c r="M38" i="2" a="1"/>
  <c r="M38" i="2" s="1"/>
  <c r="M39" i="2" a="1"/>
  <c r="M39" i="2" s="1"/>
  <c r="M40" i="2" a="1"/>
  <c r="M40" i="2" s="1"/>
  <c r="M41" i="2" a="1"/>
  <c r="M41" i="2" s="1"/>
  <c r="M42" i="2" a="1"/>
  <c r="M42" i="2" s="1"/>
  <c r="M43" i="2" a="1"/>
  <c r="M43" i="2" s="1"/>
  <c r="M44" i="2" a="1"/>
  <c r="M44" i="2" s="1"/>
  <c r="M45" i="2" a="1"/>
  <c r="M45" i="2" s="1"/>
  <c r="M46" i="2" a="1"/>
  <c r="M46" i="2" s="1"/>
  <c r="M47" i="2" a="1"/>
  <c r="M47" i="2" s="1"/>
  <c r="M48" i="2" a="1"/>
  <c r="M48" i="2" s="1"/>
  <c r="M49" i="2" a="1"/>
  <c r="M49" i="2" s="1"/>
  <c r="M50" i="2" a="1"/>
  <c r="M50" i="2" s="1"/>
  <c r="M51" i="2" a="1"/>
  <c r="M51" i="2" s="1"/>
  <c r="M52" i="2" a="1"/>
  <c r="M52" i="2" s="1"/>
  <c r="M53" i="2" a="1"/>
  <c r="M53" i="2" s="1"/>
  <c r="M54" i="2" a="1"/>
  <c r="M54" i="2" s="1"/>
  <c r="M55" i="2" a="1"/>
  <c r="M55" i="2" s="1"/>
  <c r="M56" i="2" a="1"/>
  <c r="M56" i="2" s="1"/>
  <c r="M57" i="2" a="1"/>
  <c r="M57" i="2" s="1"/>
  <c r="M58" i="2" a="1"/>
  <c r="M58" i="2" s="1"/>
  <c r="M59" i="2" a="1"/>
  <c r="M59" i="2" s="1"/>
  <c r="M60" i="2" a="1"/>
  <c r="M60" i="2" s="1"/>
  <c r="M61" i="2" a="1"/>
  <c r="M61" i="2" s="1"/>
  <c r="M62" i="2" a="1"/>
  <c r="M62" i="2" s="1"/>
  <c r="M63" i="2" a="1"/>
  <c r="M63" i="2" s="1"/>
  <c r="M64" i="2" a="1"/>
  <c r="M64" i="2" s="1"/>
  <c r="M65" i="2" a="1"/>
  <c r="M65" i="2" s="1"/>
  <c r="M66" i="2" a="1"/>
  <c r="M66" i="2" s="1"/>
  <c r="M67" i="2" a="1"/>
  <c r="M67" i="2" s="1"/>
  <c r="M68" i="2" a="1"/>
  <c r="M68" i="2" s="1"/>
  <c r="M69" i="2" a="1"/>
  <c r="M69" i="2" s="1"/>
  <c r="M70" i="2" a="1"/>
  <c r="M70" i="2" s="1"/>
  <c r="M71" i="2" a="1"/>
  <c r="M71" i="2" s="1"/>
  <c r="M72" i="2" a="1"/>
  <c r="M72" i="2" s="1"/>
  <c r="M73" i="2" a="1"/>
  <c r="M73" i="2" s="1"/>
  <c r="M74" i="2" a="1"/>
  <c r="M74" i="2" s="1"/>
  <c r="M75" i="2" a="1"/>
  <c r="M75" i="2" s="1"/>
  <c r="M76" i="2" a="1"/>
  <c r="M76" i="2" s="1"/>
  <c r="M77" i="2" a="1"/>
  <c r="M77" i="2" s="1"/>
  <c r="M78" i="2" a="1"/>
  <c r="M78" i="2" s="1"/>
  <c r="M79" i="2" a="1"/>
  <c r="M79" i="2" s="1"/>
  <c r="M80" i="2" a="1"/>
  <c r="M80" i="2" s="1"/>
  <c r="M81" i="2" a="1"/>
  <c r="M81" i="2" s="1"/>
  <c r="M82" i="2" a="1"/>
  <c r="M82" i="2" s="1"/>
  <c r="M83" i="2" a="1"/>
  <c r="M83" i="2" s="1"/>
  <c r="M84" i="2" a="1"/>
  <c r="M84" i="2" s="1"/>
  <c r="M85" i="2" a="1"/>
  <c r="M85" i="2" s="1"/>
  <c r="M86" i="2" a="1"/>
  <c r="M86" i="2" s="1"/>
  <c r="M87" i="2" a="1"/>
  <c r="M87" i="2" s="1"/>
  <c r="M88" i="2" a="1"/>
  <c r="M88" i="2" s="1"/>
  <c r="M89" i="2" a="1"/>
  <c r="M89" i="2" s="1"/>
  <c r="M90" i="2" a="1"/>
  <c r="M90" i="2" s="1"/>
  <c r="M91" i="2" a="1"/>
  <c r="M91" i="2" s="1"/>
  <c r="M92" i="2" a="1"/>
  <c r="M92" i="2" s="1"/>
  <c r="M93" i="2" a="1"/>
  <c r="M93" i="2" s="1"/>
  <c r="M94" i="2" a="1"/>
  <c r="M94" i="2" s="1"/>
  <c r="M95" i="2" a="1"/>
  <c r="M95" i="2" s="1"/>
  <c r="M96" i="2" a="1"/>
  <c r="M96" i="2" s="1"/>
  <c r="M97" i="2" a="1"/>
  <c r="M97" i="2" s="1"/>
  <c r="M98" i="2" a="1"/>
  <c r="M98" i="2" s="1"/>
  <c r="M99" i="2" a="1"/>
  <c r="M99" i="2" s="1"/>
  <c r="M100" i="2" a="1"/>
  <c r="M100" i="2" s="1"/>
  <c r="M101" i="2" a="1"/>
  <c r="M101" i="2" s="1"/>
  <c r="M102" i="2" a="1"/>
  <c r="M102" i="2" s="1"/>
  <c r="M103" i="2" a="1"/>
  <c r="M103" i="2" s="1"/>
  <c r="M104" i="2" a="1"/>
  <c r="M104" i="2" s="1"/>
  <c r="M105" i="2" a="1"/>
  <c r="M105" i="2" s="1"/>
  <c r="M106" i="2" a="1"/>
  <c r="M106" i="2" s="1"/>
  <c r="M107" i="2" a="1"/>
  <c r="M107" i="2" s="1"/>
  <c r="M108" i="2" a="1"/>
  <c r="M108" i="2" s="1"/>
  <c r="M109" i="2" a="1"/>
  <c r="M109" i="2" s="1"/>
  <c r="M110" i="2" a="1"/>
  <c r="M110" i="2" s="1"/>
  <c r="M111" i="2" a="1"/>
  <c r="M111" i="2" s="1"/>
  <c r="M112" i="2" a="1"/>
  <c r="M112" i="2" s="1"/>
  <c r="M113" i="2" a="1"/>
  <c r="M113" i="2" s="1"/>
  <c r="M114" i="2" a="1"/>
  <c r="M114" i="2" s="1"/>
  <c r="M115" i="2" a="1"/>
  <c r="M115" i="2" s="1"/>
  <c r="M116" i="2" a="1"/>
  <c r="M116" i="2" s="1"/>
  <c r="M117" i="2" a="1"/>
  <c r="M117" i="2" s="1"/>
  <c r="M118" i="2" a="1"/>
  <c r="M118" i="2" s="1"/>
  <c r="M119" i="2" a="1"/>
  <c r="M119" i="2" s="1"/>
  <c r="M120" i="2" a="1"/>
  <c r="M120" i="2" s="1"/>
  <c r="M121" i="2" a="1"/>
  <c r="M121" i="2" s="1"/>
  <c r="M122" i="2" a="1"/>
  <c r="M122" i="2" s="1"/>
  <c r="M123" i="2" a="1"/>
  <c r="M123" i="2" s="1"/>
  <c r="M124" i="2" a="1"/>
  <c r="M124" i="2" s="1"/>
  <c r="M125" i="2" a="1"/>
  <c r="M125" i="2" s="1"/>
  <c r="M126" i="2" a="1"/>
  <c r="M126" i="2" s="1"/>
  <c r="M127" i="2" a="1"/>
  <c r="M127" i="2" s="1"/>
  <c r="M128" i="2" a="1"/>
  <c r="M128" i="2" s="1"/>
  <c r="M129" i="2" a="1"/>
  <c r="M129" i="2" s="1"/>
  <c r="M130" i="2" a="1"/>
  <c r="M130" i="2" s="1"/>
  <c r="M131" i="2" a="1"/>
  <c r="M131" i="2" s="1"/>
  <c r="M132" i="2" a="1"/>
  <c r="M132" i="2" s="1"/>
  <c r="M133" i="2" a="1"/>
  <c r="M133" i="2" s="1"/>
  <c r="M134" i="2" a="1"/>
  <c r="M134" i="2" s="1"/>
  <c r="M135" i="2" a="1"/>
  <c r="M135" i="2" s="1"/>
  <c r="M136" i="2" a="1"/>
  <c r="M136" i="2" s="1"/>
  <c r="M137" i="2" a="1"/>
  <c r="M137" i="2" s="1"/>
  <c r="M138" i="2" a="1"/>
  <c r="M138" i="2" s="1"/>
  <c r="M139" i="2" a="1"/>
  <c r="M139" i="2" s="1"/>
  <c r="M140" i="2" a="1"/>
  <c r="M140" i="2" s="1"/>
  <c r="M141" i="2" a="1"/>
  <c r="M141" i="2" s="1"/>
  <c r="M142" i="2" a="1"/>
  <c r="M142" i="2" s="1"/>
  <c r="M143" i="2" a="1"/>
  <c r="M143" i="2" s="1"/>
  <c r="M144" i="2" a="1"/>
  <c r="M144" i="2" s="1"/>
  <c r="M145" i="2" a="1"/>
  <c r="M145" i="2" s="1"/>
  <c r="M146" i="2" a="1"/>
  <c r="M146" i="2" s="1"/>
  <c r="M147" i="2" a="1"/>
  <c r="M147" i="2" s="1"/>
  <c r="M148" i="2" a="1"/>
  <c r="M148" i="2" s="1"/>
  <c r="M149" i="2" a="1"/>
  <c r="M149" i="2" s="1"/>
  <c r="M150" i="2" a="1"/>
  <c r="M150" i="2" s="1"/>
  <c r="M151" i="2" a="1"/>
  <c r="M151" i="2" s="1"/>
  <c r="M152" i="2" a="1"/>
  <c r="M152" i="2" s="1"/>
  <c r="M153" i="2" a="1"/>
  <c r="M153" i="2" s="1"/>
  <c r="M154" i="2" a="1"/>
  <c r="M154" i="2" s="1"/>
  <c r="M155" i="2" a="1"/>
  <c r="M155" i="2" s="1"/>
  <c r="M156" i="2" a="1"/>
  <c r="M156" i="2" s="1"/>
  <c r="M157" i="2" a="1"/>
  <c r="M157" i="2" s="1"/>
  <c r="M158" i="2" a="1"/>
  <c r="M158" i="2" s="1"/>
  <c r="M159" i="2" a="1"/>
  <c r="M159" i="2" s="1"/>
  <c r="M160" i="2" a="1"/>
  <c r="M160" i="2" s="1"/>
  <c r="M161" i="2" a="1"/>
  <c r="M161" i="2" s="1"/>
  <c r="M162" i="2" a="1"/>
  <c r="M162" i="2" s="1"/>
  <c r="M163" i="2" a="1"/>
  <c r="M163" i="2" s="1"/>
  <c r="M164" i="2" a="1"/>
  <c r="M164" i="2" s="1"/>
  <c r="M165" i="2" a="1"/>
  <c r="M165" i="2" s="1"/>
  <c r="M166" i="2" a="1"/>
  <c r="M166" i="2" s="1"/>
  <c r="M167" i="2" a="1"/>
  <c r="M167" i="2" s="1"/>
  <c r="M168" i="2" a="1"/>
  <c r="M168" i="2" s="1"/>
  <c r="M169" i="2" a="1"/>
  <c r="M169" i="2" s="1"/>
  <c r="M170" i="2" a="1"/>
  <c r="M170" i="2" s="1"/>
  <c r="M171" i="2" a="1"/>
  <c r="M171" i="2" s="1"/>
  <c r="M172" i="2" a="1"/>
  <c r="M172" i="2" s="1"/>
  <c r="M173" i="2" a="1"/>
  <c r="M173" i="2" s="1"/>
  <c r="M174" i="2" a="1"/>
  <c r="M174" i="2" s="1"/>
  <c r="M175" i="2" a="1"/>
  <c r="M175" i="2" s="1"/>
  <c r="M176" i="2" a="1"/>
  <c r="M176" i="2" s="1"/>
  <c r="M177" i="2" a="1"/>
  <c r="M177" i="2" s="1"/>
  <c r="M178" i="2" a="1"/>
  <c r="M178" i="2" s="1"/>
  <c r="M179" i="2" a="1"/>
  <c r="M179" i="2" s="1"/>
  <c r="M180" i="2" a="1"/>
  <c r="M180" i="2" s="1"/>
  <c r="M181" i="2" a="1"/>
  <c r="M181" i="2" s="1"/>
  <c r="M182" i="2" a="1"/>
  <c r="M182" i="2" s="1"/>
  <c r="M183" i="2" a="1"/>
  <c r="M183" i="2" s="1"/>
  <c r="M184" i="2" a="1"/>
  <c r="M184" i="2" s="1"/>
  <c r="M185" i="2" a="1"/>
  <c r="M185" i="2" s="1"/>
  <c r="M186" i="2" a="1"/>
  <c r="M186" i="2" s="1"/>
  <c r="M187" i="2" a="1"/>
  <c r="M187" i="2" s="1"/>
  <c r="M188" i="2" a="1"/>
  <c r="M188" i="2" s="1"/>
  <c r="M189" i="2" a="1"/>
  <c r="M189" i="2" s="1"/>
  <c r="M190" i="2" a="1"/>
  <c r="M190" i="2" s="1"/>
  <c r="M191" i="2" a="1"/>
  <c r="M191" i="2" s="1"/>
  <c r="M192" i="2" a="1"/>
  <c r="M192" i="2" s="1"/>
  <c r="M193" i="2" a="1"/>
  <c r="M193" i="2" s="1"/>
  <c r="M194" i="2" a="1"/>
  <c r="M194" i="2" s="1"/>
  <c r="M195" i="2" a="1"/>
  <c r="M195" i="2" s="1"/>
  <c r="M196" i="2" a="1"/>
  <c r="M196" i="2" s="1"/>
  <c r="M197" i="2" a="1"/>
  <c r="M197" i="2" s="1"/>
  <c r="M198" i="2" a="1"/>
  <c r="M198" i="2" s="1"/>
  <c r="M199" i="2" a="1"/>
  <c r="M199" i="2" s="1"/>
  <c r="M200" i="2" a="1"/>
  <c r="M200" i="2" s="1"/>
  <c r="M201" i="2" a="1"/>
  <c r="M201" i="2" s="1"/>
  <c r="M202" i="2" a="1"/>
  <c r="M202" i="2" s="1"/>
  <c r="M203" i="2" a="1"/>
  <c r="M203" i="2" s="1"/>
  <c r="M204" i="2" a="1"/>
  <c r="M204" i="2" s="1"/>
  <c r="M205" i="2" a="1"/>
  <c r="M205" i="2" s="1"/>
  <c r="M206" i="2" a="1"/>
  <c r="M206" i="2" s="1"/>
  <c r="M207" i="2" a="1"/>
  <c r="M207" i="2" s="1"/>
  <c r="M208" i="2" a="1"/>
  <c r="M208" i="2" s="1"/>
  <c r="M209" i="2" a="1"/>
  <c r="M209" i="2" s="1"/>
  <c r="M210" i="2" a="1"/>
  <c r="M210" i="2" s="1"/>
  <c r="M211" i="2" a="1"/>
  <c r="M211" i="2" s="1"/>
  <c r="M212" i="2" a="1"/>
  <c r="M212" i="2" s="1"/>
  <c r="M213" i="2" a="1"/>
  <c r="M213" i="2" s="1"/>
  <c r="M214" i="2" a="1"/>
  <c r="M214" i="2" s="1"/>
  <c r="M215" i="2" a="1"/>
  <c r="M215" i="2" s="1"/>
  <c r="M216" i="2" a="1"/>
  <c r="M216" i="2" s="1"/>
  <c r="M217" i="2" a="1"/>
  <c r="M217" i="2" s="1"/>
  <c r="M218" i="2" a="1"/>
  <c r="M218" i="2" s="1"/>
  <c r="M219" i="2" a="1"/>
  <c r="M219" i="2" s="1"/>
  <c r="M220" i="2" a="1"/>
  <c r="M220" i="2" s="1"/>
  <c r="M221" i="2" a="1"/>
  <c r="M221" i="2" s="1"/>
  <c r="M222" i="2" a="1"/>
  <c r="M222" i="2" s="1"/>
  <c r="M223" i="2" a="1"/>
  <c r="M223" i="2" s="1"/>
  <c r="M224" i="2" a="1"/>
  <c r="M224" i="2" s="1"/>
  <c r="M225" i="2" a="1"/>
  <c r="M225" i="2" s="1"/>
  <c r="M226" i="2" a="1"/>
  <c r="M226" i="2" s="1"/>
  <c r="M227" i="2" a="1"/>
  <c r="M227" i="2" s="1"/>
  <c r="M228" i="2" a="1"/>
  <c r="M228" i="2" s="1"/>
  <c r="M229" i="2" a="1"/>
  <c r="M229" i="2" s="1"/>
  <c r="M230" i="2" a="1"/>
  <c r="M230" i="2" s="1"/>
  <c r="M231" i="2" a="1"/>
  <c r="M231" i="2" s="1"/>
  <c r="M232" i="2" a="1"/>
  <c r="M232" i="2" s="1"/>
  <c r="M233" i="2" a="1"/>
  <c r="M233" i="2" s="1"/>
  <c r="M234" i="2" a="1"/>
  <c r="M234" i="2" s="1"/>
  <c r="M235" i="2" a="1"/>
  <c r="M235" i="2" s="1"/>
  <c r="M236" i="2" a="1"/>
  <c r="M236" i="2" s="1"/>
  <c r="M237" i="2" a="1"/>
  <c r="M237" i="2" s="1"/>
  <c r="M238" i="2" a="1"/>
  <c r="M238" i="2" s="1"/>
  <c r="M239" i="2" a="1"/>
  <c r="M239" i="2" s="1"/>
  <c r="M240" i="2" a="1"/>
  <c r="M240" i="2" s="1"/>
  <c r="M241" i="2" a="1"/>
  <c r="M241" i="2" s="1"/>
  <c r="M242" i="2" a="1"/>
  <c r="M242" i="2" s="1"/>
  <c r="M243" i="2" a="1"/>
  <c r="M243" i="2" s="1"/>
  <c r="M244" i="2" a="1"/>
  <c r="M244" i="2" s="1"/>
  <c r="M245" i="2" a="1"/>
  <c r="M245" i="2" s="1"/>
  <c r="M246" i="2" a="1"/>
  <c r="M246" i="2" s="1"/>
  <c r="M247" i="2" a="1"/>
  <c r="M247" i="2" s="1"/>
  <c r="M248" i="2" a="1"/>
  <c r="M248" i="2" s="1"/>
  <c r="M249" i="2" a="1"/>
  <c r="M249" i="2" s="1"/>
  <c r="M250" i="2" a="1"/>
  <c r="M250" i="2" s="1"/>
  <c r="M251" i="2" a="1"/>
  <c r="M251" i="2" s="1"/>
  <c r="M252" i="2" a="1"/>
  <c r="M252" i="2" s="1"/>
  <c r="M253" i="2" a="1"/>
  <c r="M253" i="2" s="1"/>
  <c r="M254" i="2" a="1"/>
  <c r="M254" i="2" s="1"/>
  <c r="M255" i="2" a="1"/>
  <c r="M255" i="2" s="1"/>
  <c r="M256" i="2" a="1"/>
  <c r="M256" i="2" s="1"/>
  <c r="M257" i="2" a="1"/>
  <c r="M257" i="2" s="1"/>
  <c r="M258" i="2" a="1"/>
  <c r="M258" i="2" s="1"/>
  <c r="M259" i="2" a="1"/>
  <c r="M259" i="2" s="1"/>
  <c r="M260" i="2" a="1"/>
  <c r="M260" i="2" s="1"/>
  <c r="M261" i="2" a="1"/>
  <c r="M261" i="2" s="1"/>
  <c r="M262" i="2" a="1"/>
  <c r="M262" i="2" s="1"/>
  <c r="M263" i="2" a="1"/>
  <c r="M263" i="2" s="1"/>
  <c r="M264" i="2" a="1"/>
  <c r="M264" i="2" s="1"/>
  <c r="M265" i="2" a="1"/>
  <c r="M265" i="2" s="1"/>
  <c r="M266" i="2" a="1"/>
  <c r="M266" i="2" s="1"/>
  <c r="M267" i="2" a="1"/>
  <c r="M267" i="2" s="1"/>
  <c r="M268" i="2" a="1"/>
  <c r="M268" i="2" s="1"/>
  <c r="M269" i="2" a="1"/>
  <c r="M269" i="2" s="1"/>
  <c r="M270" i="2" a="1"/>
  <c r="M270" i="2" s="1"/>
  <c r="M271" i="2" a="1"/>
  <c r="M271" i="2" s="1"/>
  <c r="M272" i="2" a="1"/>
  <c r="M272" i="2" s="1"/>
  <c r="M273" i="2" a="1"/>
  <c r="M273" i="2" s="1"/>
  <c r="M274" i="2" a="1"/>
  <c r="M274" i="2" s="1"/>
  <c r="M275" i="2" a="1"/>
  <c r="M275" i="2" s="1"/>
  <c r="M276" i="2" a="1"/>
  <c r="M276" i="2" s="1"/>
  <c r="M277" i="2" a="1"/>
  <c r="M277" i="2" s="1"/>
  <c r="M278" i="2" a="1"/>
  <c r="M278" i="2" s="1"/>
  <c r="M279" i="2" a="1"/>
  <c r="M279" i="2" s="1"/>
  <c r="M280" i="2" a="1"/>
  <c r="M280" i="2" s="1"/>
  <c r="M281" i="2" a="1"/>
  <c r="M281" i="2" s="1"/>
  <c r="M282" i="2" a="1"/>
  <c r="M282" i="2" s="1"/>
  <c r="M283" i="2" a="1"/>
  <c r="M283" i="2" s="1"/>
  <c r="M284" i="2" a="1"/>
  <c r="M284" i="2" s="1"/>
  <c r="M285" i="2" a="1"/>
  <c r="M285" i="2" s="1"/>
  <c r="M286" i="2" a="1"/>
  <c r="M286" i="2" s="1"/>
  <c r="M287" i="2" a="1"/>
  <c r="M287" i="2" s="1"/>
  <c r="M288" i="2" a="1"/>
  <c r="M288" i="2" s="1"/>
  <c r="M289" i="2" a="1"/>
  <c r="M289" i="2" s="1"/>
  <c r="M290" i="2" a="1"/>
  <c r="M290" i="2" s="1"/>
  <c r="M291" i="2" a="1"/>
  <c r="M291" i="2" s="1"/>
  <c r="M292" i="2" a="1"/>
  <c r="M292" i="2" s="1"/>
  <c r="M293" i="2" a="1"/>
  <c r="M293" i="2" s="1"/>
  <c r="M294" i="2" a="1"/>
  <c r="M294" i="2" s="1"/>
  <c r="M295" i="2" a="1"/>
  <c r="M295" i="2" s="1"/>
  <c r="M296" i="2" a="1"/>
  <c r="M296" i="2" s="1"/>
  <c r="M297" i="2" a="1"/>
  <c r="M297" i="2" s="1"/>
  <c r="M298" i="2" a="1"/>
  <c r="M298" i="2" s="1"/>
  <c r="M299" i="2" a="1"/>
  <c r="M299" i="2" s="1"/>
  <c r="M300" i="2" a="1"/>
  <c r="M300" i="2" s="1"/>
  <c r="M301" i="2" a="1"/>
  <c r="M301" i="2" s="1"/>
  <c r="L2" i="2" a="1"/>
  <c r="L2" i="2" s="1"/>
  <c r="L3" i="2" a="1"/>
  <c r="L3" i="2" s="1"/>
  <c r="L4" i="2" a="1"/>
  <c r="L4" i="2" s="1"/>
  <c r="L5" i="2" a="1"/>
  <c r="L5" i="2" s="1"/>
  <c r="L6" i="2" a="1"/>
  <c r="L6" i="2" s="1"/>
  <c r="L7" i="2" a="1"/>
  <c r="L7" i="2" s="1"/>
  <c r="L8" i="2" a="1"/>
  <c r="L8" i="2" s="1"/>
  <c r="L9" i="2" a="1"/>
  <c r="L9" i="2" s="1"/>
  <c r="L10" i="2" a="1"/>
  <c r="L10" i="2" s="1"/>
  <c r="L11" i="2" a="1"/>
  <c r="L11" i="2" s="1"/>
  <c r="L12" i="2" a="1"/>
  <c r="L12" i="2" s="1"/>
  <c r="L13" i="2" a="1"/>
  <c r="L13" i="2" s="1"/>
  <c r="L14" i="2" a="1"/>
  <c r="L14" i="2" s="1"/>
  <c r="L15" i="2" a="1"/>
  <c r="L15" i="2" s="1"/>
  <c r="L16" i="2" a="1"/>
  <c r="L16" i="2" s="1"/>
  <c r="L17" i="2" a="1"/>
  <c r="L17" i="2" s="1"/>
  <c r="L18" i="2" a="1"/>
  <c r="L18" i="2" s="1"/>
  <c r="L19" i="2" a="1"/>
  <c r="L19" i="2" s="1"/>
  <c r="L20" i="2" a="1"/>
  <c r="L20" i="2" s="1"/>
  <c r="L21" i="2" a="1"/>
  <c r="L21" i="2" s="1"/>
  <c r="L22" i="2" a="1"/>
  <c r="L22" i="2" s="1"/>
  <c r="L23" i="2" a="1"/>
  <c r="L23" i="2" s="1"/>
  <c r="L24" i="2" a="1"/>
  <c r="L24" i="2" s="1"/>
  <c r="L25" i="2" a="1"/>
  <c r="L25" i="2" s="1"/>
  <c r="L26" i="2" a="1"/>
  <c r="L26" i="2" s="1"/>
  <c r="L27" i="2" a="1"/>
  <c r="L27" i="2" s="1"/>
  <c r="L28" i="2" a="1"/>
  <c r="L28" i="2" s="1"/>
  <c r="L29" i="2" a="1"/>
  <c r="L29" i="2" s="1"/>
  <c r="L30" i="2" a="1"/>
  <c r="L30" i="2" s="1"/>
  <c r="L31" i="2" a="1"/>
  <c r="L31" i="2" s="1"/>
  <c r="L32" i="2" a="1"/>
  <c r="L32" i="2" s="1"/>
  <c r="L33" i="2" a="1"/>
  <c r="L33" i="2" s="1"/>
  <c r="L34" i="2" a="1"/>
  <c r="L34" i="2" s="1"/>
  <c r="L35" i="2" a="1"/>
  <c r="L35" i="2" s="1"/>
  <c r="L36" i="2" a="1"/>
  <c r="L36" i="2" s="1"/>
  <c r="L37" i="2" a="1"/>
  <c r="L37" i="2" s="1"/>
  <c r="L38" i="2" a="1"/>
  <c r="L38" i="2" s="1"/>
  <c r="L39" i="2" a="1"/>
  <c r="L39" i="2" s="1"/>
  <c r="L40" i="2" a="1"/>
  <c r="L40" i="2" s="1"/>
  <c r="L41" i="2" a="1"/>
  <c r="L41" i="2" s="1"/>
  <c r="L42" i="2" a="1"/>
  <c r="L42" i="2" s="1"/>
  <c r="L43" i="2" a="1"/>
  <c r="L43" i="2" s="1"/>
  <c r="L44" i="2" a="1"/>
  <c r="L44" i="2" s="1"/>
  <c r="L45" i="2" a="1"/>
  <c r="L45" i="2" s="1"/>
  <c r="L46" i="2" a="1"/>
  <c r="L46" i="2" s="1"/>
  <c r="L47" i="2" a="1"/>
  <c r="L47" i="2" s="1"/>
  <c r="L48" i="2" a="1"/>
  <c r="L48" i="2" s="1"/>
  <c r="L49" i="2" a="1"/>
  <c r="L49" i="2" s="1"/>
  <c r="L50" i="2" a="1"/>
  <c r="L50" i="2" s="1"/>
  <c r="L51" i="2" a="1"/>
  <c r="L51" i="2" s="1"/>
  <c r="L52" i="2" a="1"/>
  <c r="L52" i="2" s="1"/>
  <c r="L53" i="2" a="1"/>
  <c r="L53" i="2" s="1"/>
  <c r="L54" i="2" a="1"/>
  <c r="L54" i="2" s="1"/>
  <c r="L55" i="2" a="1"/>
  <c r="L55" i="2" s="1"/>
  <c r="L56" i="2" a="1"/>
  <c r="L56" i="2" s="1"/>
  <c r="L57" i="2" a="1"/>
  <c r="L57" i="2" s="1"/>
  <c r="L58" i="2" a="1"/>
  <c r="L58" i="2" s="1"/>
  <c r="L59" i="2" a="1"/>
  <c r="L59" i="2" s="1"/>
  <c r="L60" i="2" a="1"/>
  <c r="L60" i="2" s="1"/>
  <c r="L61" i="2" a="1"/>
  <c r="L61" i="2" s="1"/>
  <c r="L62" i="2" a="1"/>
  <c r="L62" i="2" s="1"/>
  <c r="L63" i="2" a="1"/>
  <c r="L63" i="2" s="1"/>
  <c r="L64" i="2" a="1"/>
  <c r="L64" i="2" s="1"/>
  <c r="L65" i="2" a="1"/>
  <c r="L65" i="2" s="1"/>
  <c r="L66" i="2" a="1"/>
  <c r="L66" i="2" s="1"/>
  <c r="L67" i="2" a="1"/>
  <c r="L67" i="2" s="1"/>
  <c r="L68" i="2" a="1"/>
  <c r="L68" i="2" s="1"/>
  <c r="L69" i="2" a="1"/>
  <c r="L69" i="2" s="1"/>
  <c r="L70" i="2" a="1"/>
  <c r="L70" i="2" s="1"/>
  <c r="L71" i="2" a="1"/>
  <c r="L71" i="2" s="1"/>
  <c r="L72" i="2" a="1"/>
  <c r="L72" i="2" s="1"/>
  <c r="L73" i="2" a="1"/>
  <c r="L73" i="2" s="1"/>
  <c r="L74" i="2" a="1"/>
  <c r="L74" i="2" s="1"/>
  <c r="L75" i="2" a="1"/>
  <c r="L75" i="2" s="1"/>
  <c r="L76" i="2" a="1"/>
  <c r="L76" i="2" s="1"/>
  <c r="L77" i="2" a="1"/>
  <c r="L77" i="2" s="1"/>
  <c r="L78" i="2" a="1"/>
  <c r="L78" i="2" s="1"/>
  <c r="L79" i="2" a="1"/>
  <c r="L79" i="2" s="1"/>
  <c r="L80" i="2" a="1"/>
  <c r="L80" i="2" s="1"/>
  <c r="L81" i="2" a="1"/>
  <c r="L81" i="2" s="1"/>
  <c r="L82" i="2" a="1"/>
  <c r="L82" i="2" s="1"/>
  <c r="L83" i="2" a="1"/>
  <c r="L83" i="2" s="1"/>
  <c r="L84" i="2" a="1"/>
  <c r="L84" i="2" s="1"/>
  <c r="L85" i="2" a="1"/>
  <c r="L85" i="2" s="1"/>
  <c r="L86" i="2" a="1"/>
  <c r="L86" i="2" s="1"/>
  <c r="L87" i="2" a="1"/>
  <c r="L87" i="2" s="1"/>
  <c r="L88" i="2" a="1"/>
  <c r="L88" i="2" s="1"/>
  <c r="L89" i="2" a="1"/>
  <c r="L89" i="2" s="1"/>
  <c r="L90" i="2" a="1"/>
  <c r="L90" i="2" s="1"/>
  <c r="L91" i="2" a="1"/>
  <c r="L91" i="2" s="1"/>
  <c r="L92" i="2" a="1"/>
  <c r="L92" i="2" s="1"/>
  <c r="L93" i="2" a="1"/>
  <c r="L93" i="2" s="1"/>
  <c r="L94" i="2" a="1"/>
  <c r="L94" i="2" s="1"/>
  <c r="L95" i="2" a="1"/>
  <c r="L95" i="2" s="1"/>
  <c r="L96" i="2" a="1"/>
  <c r="L96" i="2" s="1"/>
  <c r="L97" i="2" a="1"/>
  <c r="L97" i="2" s="1"/>
  <c r="L98" i="2" a="1"/>
  <c r="L98" i="2" s="1"/>
  <c r="L99" i="2" a="1"/>
  <c r="L99" i="2" s="1"/>
  <c r="L100" i="2" a="1"/>
  <c r="L100" i="2" s="1"/>
  <c r="L101" i="2" a="1"/>
  <c r="L101" i="2" s="1"/>
  <c r="L102" i="2" a="1"/>
  <c r="L102" i="2" s="1"/>
  <c r="L103" i="2" a="1"/>
  <c r="L103" i="2" s="1"/>
  <c r="L104" i="2" a="1"/>
  <c r="L104" i="2" s="1"/>
  <c r="L105" i="2" a="1"/>
  <c r="L105" i="2" s="1"/>
  <c r="L106" i="2" a="1"/>
  <c r="L106" i="2" s="1"/>
  <c r="L107" i="2" a="1"/>
  <c r="L107" i="2" s="1"/>
  <c r="L108" i="2" a="1"/>
  <c r="L108" i="2" s="1"/>
  <c r="L109" i="2" a="1"/>
  <c r="L109" i="2" s="1"/>
  <c r="L110" i="2" a="1"/>
  <c r="L110" i="2" s="1"/>
  <c r="L111" i="2" a="1"/>
  <c r="L111" i="2" s="1"/>
  <c r="L112" i="2" a="1"/>
  <c r="L112" i="2" s="1"/>
  <c r="L113" i="2" a="1"/>
  <c r="L113" i="2" s="1"/>
  <c r="L114" i="2" a="1"/>
  <c r="L114" i="2" s="1"/>
  <c r="L115" i="2" a="1"/>
  <c r="L115" i="2" s="1"/>
  <c r="L116" i="2" a="1"/>
  <c r="L116" i="2" s="1"/>
  <c r="L117" i="2" a="1"/>
  <c r="L117" i="2" s="1"/>
  <c r="L118" i="2" a="1"/>
  <c r="L118" i="2" s="1"/>
  <c r="L119" i="2" a="1"/>
  <c r="L119" i="2" s="1"/>
  <c r="L120" i="2" a="1"/>
  <c r="L120" i="2" s="1"/>
  <c r="L121" i="2" a="1"/>
  <c r="L121" i="2" s="1"/>
  <c r="L122" i="2" a="1"/>
  <c r="L122" i="2" s="1"/>
  <c r="L123" i="2" a="1"/>
  <c r="L123" i="2" s="1"/>
  <c r="L124" i="2" a="1"/>
  <c r="L124" i="2" s="1"/>
  <c r="L125" i="2" a="1"/>
  <c r="L125" i="2" s="1"/>
  <c r="L126" i="2" a="1"/>
  <c r="L126" i="2" s="1"/>
  <c r="L127" i="2" a="1"/>
  <c r="L127" i="2" s="1"/>
  <c r="L128" i="2" a="1"/>
  <c r="L128" i="2" s="1"/>
  <c r="L129" i="2" a="1"/>
  <c r="L129" i="2" s="1"/>
  <c r="L130" i="2" a="1"/>
  <c r="L130" i="2" s="1"/>
  <c r="L131" i="2" a="1"/>
  <c r="L131" i="2" s="1"/>
  <c r="L132" i="2" a="1"/>
  <c r="L132" i="2" s="1"/>
  <c r="L133" i="2" a="1"/>
  <c r="L133" i="2" s="1"/>
  <c r="L134" i="2" a="1"/>
  <c r="L134" i="2" s="1"/>
  <c r="L135" i="2" a="1"/>
  <c r="L135" i="2" s="1"/>
  <c r="L136" i="2" a="1"/>
  <c r="L136" i="2" s="1"/>
  <c r="L137" i="2" a="1"/>
  <c r="L137" i="2" s="1"/>
  <c r="L138" i="2" a="1"/>
  <c r="L138" i="2" s="1"/>
  <c r="L139" i="2" a="1"/>
  <c r="L139" i="2" s="1"/>
  <c r="L140" i="2" a="1"/>
  <c r="L140" i="2" s="1"/>
  <c r="L141" i="2" a="1"/>
  <c r="L141" i="2" s="1"/>
  <c r="L142" i="2" a="1"/>
  <c r="L142" i="2" s="1"/>
  <c r="L143" i="2" a="1"/>
  <c r="L143" i="2" s="1"/>
  <c r="L144" i="2" a="1"/>
  <c r="L144" i="2" s="1"/>
  <c r="L145" i="2" a="1"/>
  <c r="L145" i="2" s="1"/>
  <c r="L146" i="2" a="1"/>
  <c r="L146" i="2" s="1"/>
  <c r="L147" i="2" a="1"/>
  <c r="L147" i="2" s="1"/>
  <c r="L148" i="2" a="1"/>
  <c r="L148" i="2" s="1"/>
  <c r="L149" i="2" a="1"/>
  <c r="L149" i="2" s="1"/>
  <c r="L150" i="2" a="1"/>
  <c r="L150" i="2" s="1"/>
  <c r="L151" i="2" a="1"/>
  <c r="L151" i="2" s="1"/>
  <c r="L152" i="2" a="1"/>
  <c r="L152" i="2" s="1"/>
  <c r="L153" i="2" a="1"/>
  <c r="L153" i="2" s="1"/>
  <c r="L154" i="2" a="1"/>
  <c r="L154" i="2" s="1"/>
  <c r="L155" i="2" a="1"/>
  <c r="L155" i="2" s="1"/>
  <c r="L156" i="2" a="1"/>
  <c r="L156" i="2" s="1"/>
  <c r="L157" i="2" a="1"/>
  <c r="L157" i="2" s="1"/>
  <c r="L158" i="2" a="1"/>
  <c r="L158" i="2" s="1"/>
  <c r="L159" i="2" a="1"/>
  <c r="L159" i="2" s="1"/>
  <c r="L160" i="2" a="1"/>
  <c r="L160" i="2" s="1"/>
  <c r="L161" i="2" a="1"/>
  <c r="L161" i="2" s="1"/>
  <c r="L162" i="2" a="1"/>
  <c r="L162" i="2" s="1"/>
  <c r="L163" i="2" a="1"/>
  <c r="L163" i="2" s="1"/>
  <c r="L164" i="2" a="1"/>
  <c r="L164" i="2" s="1"/>
  <c r="L165" i="2" a="1"/>
  <c r="L165" i="2" s="1"/>
  <c r="L166" i="2" a="1"/>
  <c r="L166" i="2" s="1"/>
  <c r="L167" i="2" a="1"/>
  <c r="L167" i="2" s="1"/>
  <c r="L168" i="2" a="1"/>
  <c r="L168" i="2" s="1"/>
  <c r="L169" i="2" a="1"/>
  <c r="L169" i="2" s="1"/>
  <c r="L170" i="2" a="1"/>
  <c r="L170" i="2" s="1"/>
  <c r="L171" i="2" a="1"/>
  <c r="L171" i="2" s="1"/>
  <c r="L172" i="2" a="1"/>
  <c r="L172" i="2" s="1"/>
  <c r="L173" i="2" a="1"/>
  <c r="L173" i="2" s="1"/>
  <c r="L174" i="2" a="1"/>
  <c r="L174" i="2" s="1"/>
  <c r="L175" i="2" a="1"/>
  <c r="L175" i="2" s="1"/>
  <c r="L176" i="2" a="1"/>
  <c r="L176" i="2" s="1"/>
  <c r="L177" i="2" a="1"/>
  <c r="L177" i="2" s="1"/>
  <c r="L178" i="2" a="1"/>
  <c r="L178" i="2" s="1"/>
  <c r="L179" i="2" a="1"/>
  <c r="L179" i="2" s="1"/>
  <c r="L180" i="2" a="1"/>
  <c r="L180" i="2" s="1"/>
  <c r="L181" i="2" a="1"/>
  <c r="L181" i="2" s="1"/>
  <c r="L182" i="2" a="1"/>
  <c r="L182" i="2" s="1"/>
  <c r="L183" i="2" a="1"/>
  <c r="L183" i="2" s="1"/>
  <c r="L184" i="2" a="1"/>
  <c r="L184" i="2" s="1"/>
  <c r="L185" i="2" a="1"/>
  <c r="L185" i="2" s="1"/>
  <c r="L186" i="2" a="1"/>
  <c r="L186" i="2" s="1"/>
  <c r="L187" i="2" a="1"/>
  <c r="L187" i="2" s="1"/>
  <c r="L188" i="2" a="1"/>
  <c r="L188" i="2" s="1"/>
  <c r="L189" i="2" a="1"/>
  <c r="L189" i="2" s="1"/>
  <c r="L190" i="2" a="1"/>
  <c r="L190" i="2" s="1"/>
  <c r="L191" i="2" a="1"/>
  <c r="L191" i="2" s="1"/>
  <c r="L192" i="2" a="1"/>
  <c r="L192" i="2" s="1"/>
  <c r="L193" i="2" a="1"/>
  <c r="L193" i="2" s="1"/>
  <c r="L194" i="2" a="1"/>
  <c r="L194" i="2" s="1"/>
  <c r="L195" i="2" a="1"/>
  <c r="L195" i="2" s="1"/>
  <c r="L196" i="2" a="1"/>
  <c r="L196" i="2" s="1"/>
  <c r="L197" i="2" a="1"/>
  <c r="L197" i="2" s="1"/>
  <c r="L198" i="2" a="1"/>
  <c r="L198" i="2" s="1"/>
  <c r="L199" i="2" a="1"/>
  <c r="L199" i="2" s="1"/>
  <c r="L200" i="2" a="1"/>
  <c r="L200" i="2" s="1"/>
  <c r="L201" i="2" a="1"/>
  <c r="L201" i="2" s="1"/>
  <c r="L202" i="2" a="1"/>
  <c r="L202" i="2" s="1"/>
  <c r="L203" i="2" a="1"/>
  <c r="L203" i="2" s="1"/>
  <c r="L204" i="2" a="1"/>
  <c r="L204" i="2" s="1"/>
  <c r="L205" i="2" a="1"/>
  <c r="L205" i="2" s="1"/>
  <c r="L206" i="2" a="1"/>
  <c r="L206" i="2" s="1"/>
  <c r="L207" i="2" a="1"/>
  <c r="L207" i="2" s="1"/>
  <c r="L208" i="2" a="1"/>
  <c r="L208" i="2" s="1"/>
  <c r="L209" i="2" a="1"/>
  <c r="L209" i="2" s="1"/>
  <c r="L210" i="2" a="1"/>
  <c r="L210" i="2" s="1"/>
  <c r="L211" i="2" a="1"/>
  <c r="L211" i="2" s="1"/>
  <c r="L212" i="2" a="1"/>
  <c r="L212" i="2" s="1"/>
  <c r="L213" i="2" a="1"/>
  <c r="L213" i="2" s="1"/>
  <c r="L214" i="2" a="1"/>
  <c r="L214" i="2" s="1"/>
  <c r="L215" i="2" a="1"/>
  <c r="L215" i="2" s="1"/>
  <c r="L216" i="2" a="1"/>
  <c r="L216" i="2" s="1"/>
  <c r="L217" i="2" a="1"/>
  <c r="L217" i="2" s="1"/>
  <c r="L218" i="2" a="1"/>
  <c r="L218" i="2" s="1"/>
  <c r="L219" i="2" a="1"/>
  <c r="L219" i="2" s="1"/>
  <c r="L220" i="2" a="1"/>
  <c r="L220" i="2" s="1"/>
  <c r="L221" i="2" a="1"/>
  <c r="L221" i="2" s="1"/>
  <c r="L222" i="2" a="1"/>
  <c r="L222" i="2" s="1"/>
  <c r="L223" i="2" a="1"/>
  <c r="L223" i="2" s="1"/>
  <c r="L224" i="2" a="1"/>
  <c r="L224" i="2" s="1"/>
  <c r="L225" i="2" a="1"/>
  <c r="L225" i="2" s="1"/>
  <c r="L226" i="2" a="1"/>
  <c r="L226" i="2" s="1"/>
  <c r="L227" i="2" a="1"/>
  <c r="L227" i="2" s="1"/>
  <c r="L228" i="2" a="1"/>
  <c r="L228" i="2" s="1"/>
  <c r="L229" i="2" a="1"/>
  <c r="L229" i="2" s="1"/>
  <c r="L230" i="2" a="1"/>
  <c r="L230" i="2" s="1"/>
  <c r="L231" i="2" a="1"/>
  <c r="L231" i="2" s="1"/>
  <c r="L232" i="2" a="1"/>
  <c r="L232" i="2" s="1"/>
  <c r="L233" i="2" a="1"/>
  <c r="L233" i="2" s="1"/>
  <c r="L234" i="2" a="1"/>
  <c r="L234" i="2" s="1"/>
  <c r="L235" i="2" a="1"/>
  <c r="L235" i="2" s="1"/>
  <c r="L236" i="2" a="1"/>
  <c r="L236" i="2" s="1"/>
  <c r="L237" i="2" a="1"/>
  <c r="L237" i="2" s="1"/>
  <c r="L238" i="2" a="1"/>
  <c r="L238" i="2" s="1"/>
  <c r="L239" i="2" a="1"/>
  <c r="L239" i="2" s="1"/>
  <c r="L240" i="2" a="1"/>
  <c r="L240" i="2" s="1"/>
  <c r="L241" i="2" a="1"/>
  <c r="L241" i="2" s="1"/>
  <c r="L242" i="2" a="1"/>
  <c r="L242" i="2" s="1"/>
  <c r="L243" i="2" a="1"/>
  <c r="L243" i="2" s="1"/>
  <c r="L244" i="2" a="1"/>
  <c r="L244" i="2" s="1"/>
  <c r="L245" i="2" a="1"/>
  <c r="L245" i="2" s="1"/>
  <c r="L246" i="2" a="1"/>
  <c r="L246" i="2" s="1"/>
  <c r="L247" i="2" a="1"/>
  <c r="L247" i="2" s="1"/>
  <c r="L248" i="2" a="1"/>
  <c r="L248" i="2" s="1"/>
  <c r="L249" i="2" a="1"/>
  <c r="L249" i="2" s="1"/>
  <c r="L250" i="2" a="1"/>
  <c r="L250" i="2" s="1"/>
  <c r="L251" i="2" a="1"/>
  <c r="L251" i="2" s="1"/>
  <c r="L252" i="2" a="1"/>
  <c r="L252" i="2" s="1"/>
  <c r="L253" i="2" a="1"/>
  <c r="L253" i="2" s="1"/>
  <c r="L254" i="2" a="1"/>
  <c r="L254" i="2" s="1"/>
  <c r="L255" i="2" a="1"/>
  <c r="L255" i="2" s="1"/>
  <c r="L256" i="2" a="1"/>
  <c r="L256" i="2" s="1"/>
  <c r="L257" i="2" a="1"/>
  <c r="L257" i="2" s="1"/>
  <c r="L258" i="2" a="1"/>
  <c r="L258" i="2" s="1"/>
  <c r="L259" i="2" a="1"/>
  <c r="L259" i="2" s="1"/>
  <c r="L260" i="2" a="1"/>
  <c r="L260" i="2" s="1"/>
  <c r="L261" i="2" a="1"/>
  <c r="L261" i="2" s="1"/>
  <c r="L262" i="2" a="1"/>
  <c r="L262" i="2" s="1"/>
  <c r="L263" i="2" a="1"/>
  <c r="L263" i="2" s="1"/>
  <c r="L264" i="2" a="1"/>
  <c r="L264" i="2" s="1"/>
  <c r="L265" i="2" a="1"/>
  <c r="L265" i="2" s="1"/>
  <c r="L266" i="2" a="1"/>
  <c r="L266" i="2" s="1"/>
  <c r="L267" i="2" a="1"/>
  <c r="L267" i="2" s="1"/>
  <c r="L268" i="2" a="1"/>
  <c r="L268" i="2" s="1"/>
  <c r="L269" i="2" a="1"/>
  <c r="L269" i="2" s="1"/>
  <c r="L270" i="2" a="1"/>
  <c r="L270" i="2" s="1"/>
  <c r="L271" i="2" a="1"/>
  <c r="L271" i="2" s="1"/>
  <c r="L272" i="2" a="1"/>
  <c r="L272" i="2" s="1"/>
  <c r="L273" i="2" a="1"/>
  <c r="L273" i="2" s="1"/>
  <c r="L274" i="2" a="1"/>
  <c r="L274" i="2" s="1"/>
  <c r="L275" i="2" a="1"/>
  <c r="L275" i="2" s="1"/>
  <c r="L276" i="2" a="1"/>
  <c r="L276" i="2" s="1"/>
  <c r="L277" i="2" a="1"/>
  <c r="L277" i="2" s="1"/>
  <c r="L278" i="2" a="1"/>
  <c r="L278" i="2" s="1"/>
  <c r="L279" i="2" a="1"/>
  <c r="L279" i="2" s="1"/>
  <c r="L280" i="2" a="1"/>
  <c r="L280" i="2" s="1"/>
  <c r="L281" i="2" a="1"/>
  <c r="L281" i="2" s="1"/>
  <c r="L282" i="2" a="1"/>
  <c r="L282" i="2" s="1"/>
  <c r="L283" i="2" a="1"/>
  <c r="L283" i="2" s="1"/>
  <c r="L284" i="2" a="1"/>
  <c r="L284" i="2" s="1"/>
  <c r="L285" i="2" a="1"/>
  <c r="L285" i="2" s="1"/>
  <c r="L286" i="2" a="1"/>
  <c r="L286" i="2" s="1"/>
  <c r="L287" i="2" a="1"/>
  <c r="L287" i="2" s="1"/>
  <c r="L288" i="2" a="1"/>
  <c r="L288" i="2" s="1"/>
  <c r="L289" i="2" a="1"/>
  <c r="L289" i="2" s="1"/>
  <c r="L290" i="2" a="1"/>
  <c r="L290" i="2" s="1"/>
  <c r="L291" i="2" a="1"/>
  <c r="L291" i="2" s="1"/>
  <c r="L292" i="2" a="1"/>
  <c r="L292" i="2" s="1"/>
  <c r="L293" i="2" a="1"/>
  <c r="L293" i="2" s="1"/>
  <c r="L294" i="2" a="1"/>
  <c r="L294" i="2" s="1"/>
  <c r="L295" i="2" a="1"/>
  <c r="L295" i="2" s="1"/>
  <c r="L296" i="2" a="1"/>
  <c r="L296" i="2" s="1"/>
  <c r="L297" i="2" a="1"/>
  <c r="L297" i="2" s="1"/>
  <c r="L298" i="2" a="1"/>
  <c r="L298" i="2" s="1"/>
  <c r="L299" i="2" a="1"/>
  <c r="L299" i="2" s="1"/>
  <c r="L300" i="2" a="1"/>
  <c r="L300" i="2" s="1"/>
  <c r="L301" i="2" a="1"/>
  <c r="L301" i="2" s="1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F18" i="2"/>
  <c r="J18" i="2" s="1"/>
  <c r="N18" i="2" s="1" a="1"/>
  <c r="N18" i="2" s="1"/>
  <c r="J2" i="2"/>
  <c r="N2" i="2" s="1" a="1"/>
  <c r="N2" i="2" s="1"/>
  <c r="J3" i="2"/>
  <c r="N3" i="2" s="1" a="1"/>
  <c r="N3" i="2" s="1"/>
  <c r="J4" i="2"/>
  <c r="N4" i="2" s="1" a="1"/>
  <c r="N4" i="2" s="1"/>
  <c r="J5" i="2"/>
  <c r="N5" i="2" s="1" a="1"/>
  <c r="N5" i="2" s="1"/>
  <c r="J6" i="2"/>
  <c r="N6" i="2" s="1" a="1"/>
  <c r="N6" i="2" s="1"/>
  <c r="J7" i="2"/>
  <c r="N7" i="2" s="1" a="1"/>
  <c r="N7" i="2" s="1"/>
  <c r="J8" i="2"/>
  <c r="N8" i="2" s="1" a="1"/>
  <c r="N8" i="2" s="1"/>
  <c r="J9" i="2"/>
  <c r="N9" i="2" s="1" a="1"/>
  <c r="N9" i="2" s="1"/>
  <c r="J10" i="2"/>
  <c r="N10" i="2" s="1" a="1"/>
  <c r="N10" i="2" s="1"/>
  <c r="J11" i="2"/>
  <c r="N11" i="2" s="1" a="1"/>
  <c r="N11" i="2" s="1"/>
  <c r="J12" i="2"/>
  <c r="N12" i="2" s="1" a="1"/>
  <c r="N12" i="2" s="1"/>
  <c r="J13" i="2"/>
  <c r="N13" i="2" s="1" a="1"/>
  <c r="N13" i="2" s="1"/>
  <c r="J14" i="2"/>
  <c r="N14" i="2" s="1" a="1"/>
  <c r="N14" i="2" s="1"/>
  <c r="J15" i="2"/>
  <c r="N15" i="2" s="1" a="1"/>
  <c r="N15" i="2" s="1"/>
  <c r="J16" i="2"/>
  <c r="N16" i="2" s="1" a="1"/>
  <c r="N16" i="2" s="1"/>
  <c r="J17" i="2"/>
  <c r="N17" i="2" s="1" a="1"/>
  <c r="N17" i="2" s="1"/>
  <c r="J19" i="2"/>
  <c r="N19" i="2" s="1" a="1"/>
  <c r="N19" i="2" s="1"/>
  <c r="J20" i="2"/>
  <c r="N20" i="2" s="1" a="1"/>
  <c r="N20" i="2" s="1"/>
  <c r="J21" i="2"/>
  <c r="N21" i="2" s="1" a="1"/>
  <c r="N21" i="2" s="1"/>
  <c r="J22" i="2"/>
  <c r="N22" i="2" s="1" a="1"/>
  <c r="N22" i="2" s="1"/>
  <c r="J23" i="2"/>
  <c r="N23" i="2" s="1" a="1"/>
  <c r="N23" i="2" s="1"/>
  <c r="J24" i="2"/>
  <c r="N24" i="2" s="1" a="1"/>
  <c r="N24" i="2" s="1"/>
  <c r="J25" i="2"/>
  <c r="N25" i="2" s="1" a="1"/>
  <c r="N25" i="2" s="1"/>
  <c r="J26" i="2"/>
  <c r="N26" i="2" s="1" a="1"/>
  <c r="N26" i="2" s="1"/>
  <c r="J27" i="2"/>
  <c r="N27" i="2" s="1" a="1"/>
  <c r="N27" i="2" s="1"/>
  <c r="J28" i="2"/>
  <c r="N28" i="2" s="1" a="1"/>
  <c r="N28" i="2" s="1"/>
  <c r="J29" i="2"/>
  <c r="N29" i="2" s="1" a="1"/>
  <c r="N29" i="2" s="1"/>
  <c r="J30" i="2"/>
  <c r="N30" i="2" s="1" a="1"/>
  <c r="N30" i="2" s="1"/>
  <c r="J31" i="2"/>
  <c r="N31" i="2" s="1" a="1"/>
  <c r="N31" i="2" s="1"/>
  <c r="J32" i="2"/>
  <c r="N32" i="2" s="1" a="1"/>
  <c r="N32" i="2" s="1"/>
  <c r="J33" i="2"/>
  <c r="N33" i="2" s="1" a="1"/>
  <c r="N33" i="2" s="1"/>
  <c r="J34" i="2"/>
  <c r="N34" i="2" s="1" a="1"/>
  <c r="N34" i="2" s="1"/>
  <c r="J35" i="2"/>
  <c r="N35" i="2" s="1" a="1"/>
  <c r="N35" i="2" s="1"/>
  <c r="J36" i="2"/>
  <c r="N36" i="2" s="1" a="1"/>
  <c r="N36" i="2" s="1"/>
  <c r="J37" i="2"/>
  <c r="N37" i="2" s="1" a="1"/>
  <c r="N37" i="2" s="1"/>
  <c r="J38" i="2"/>
  <c r="N38" i="2" s="1" a="1"/>
  <c r="N38" i="2" s="1"/>
  <c r="J39" i="2"/>
  <c r="N39" i="2" s="1" a="1"/>
  <c r="N39" i="2" s="1"/>
  <c r="J40" i="2"/>
  <c r="N40" i="2" s="1" a="1"/>
  <c r="N40" i="2" s="1"/>
  <c r="J41" i="2"/>
  <c r="N41" i="2" s="1" a="1"/>
  <c r="N41" i="2" s="1"/>
  <c r="J42" i="2"/>
  <c r="N42" i="2" s="1" a="1"/>
  <c r="N42" i="2" s="1"/>
  <c r="J43" i="2"/>
  <c r="N43" i="2" s="1" a="1"/>
  <c r="N43" i="2" s="1"/>
  <c r="J44" i="2"/>
  <c r="N44" i="2" s="1" a="1"/>
  <c r="N44" i="2" s="1"/>
  <c r="J45" i="2"/>
  <c r="N45" i="2" s="1" a="1"/>
  <c r="N45" i="2" s="1"/>
  <c r="J46" i="2"/>
  <c r="N46" i="2" s="1" a="1"/>
  <c r="N46" i="2" s="1"/>
  <c r="J47" i="2"/>
  <c r="N47" i="2" s="1" a="1"/>
  <c r="N47" i="2" s="1"/>
  <c r="J48" i="2"/>
  <c r="N48" i="2" s="1" a="1"/>
  <c r="N48" i="2" s="1"/>
  <c r="J49" i="2"/>
  <c r="N49" i="2" s="1" a="1"/>
  <c r="N49" i="2" s="1"/>
  <c r="J50" i="2"/>
  <c r="N50" i="2" s="1" a="1"/>
  <c r="N50" i="2" s="1"/>
  <c r="J51" i="2"/>
  <c r="N51" i="2" s="1" a="1"/>
  <c r="N51" i="2" s="1"/>
  <c r="J52" i="2"/>
  <c r="N52" i="2" s="1" a="1"/>
  <c r="N52" i="2" s="1"/>
  <c r="J53" i="2"/>
  <c r="N53" i="2" s="1" a="1"/>
  <c r="N53" i="2" s="1"/>
  <c r="J54" i="2"/>
  <c r="N54" i="2" s="1" a="1"/>
  <c r="N54" i="2" s="1"/>
  <c r="J55" i="2"/>
  <c r="N55" i="2" s="1" a="1"/>
  <c r="N55" i="2" s="1"/>
  <c r="J56" i="2"/>
  <c r="N56" i="2" s="1" a="1"/>
  <c r="N56" i="2" s="1"/>
  <c r="J57" i="2"/>
  <c r="N57" i="2" s="1" a="1"/>
  <c r="N57" i="2" s="1"/>
  <c r="J58" i="2"/>
  <c r="N58" i="2" s="1" a="1"/>
  <c r="N58" i="2" s="1"/>
  <c r="J59" i="2"/>
  <c r="N59" i="2" s="1" a="1"/>
  <c r="N59" i="2" s="1"/>
  <c r="J60" i="2"/>
  <c r="N60" i="2" s="1" a="1"/>
  <c r="N60" i="2" s="1"/>
  <c r="J61" i="2"/>
  <c r="N61" i="2" s="1" a="1"/>
  <c r="N61" i="2" s="1"/>
  <c r="J62" i="2"/>
  <c r="N62" i="2" s="1" a="1"/>
  <c r="N62" i="2" s="1"/>
  <c r="J63" i="2"/>
  <c r="N63" i="2" s="1" a="1"/>
  <c r="N63" i="2" s="1"/>
  <c r="J64" i="2"/>
  <c r="N64" i="2" s="1" a="1"/>
  <c r="N64" i="2" s="1"/>
  <c r="J65" i="2"/>
  <c r="N65" i="2" s="1" a="1"/>
  <c r="N65" i="2" s="1"/>
  <c r="J66" i="2"/>
  <c r="N66" i="2" s="1" a="1"/>
  <c r="N66" i="2" s="1"/>
  <c r="J67" i="2"/>
  <c r="N67" i="2" s="1" a="1"/>
  <c r="N67" i="2" s="1"/>
  <c r="J68" i="2"/>
  <c r="N68" i="2" s="1" a="1"/>
  <c r="N68" i="2" s="1"/>
  <c r="J69" i="2"/>
  <c r="N69" i="2" s="1" a="1"/>
  <c r="N69" i="2" s="1"/>
  <c r="J70" i="2"/>
  <c r="N70" i="2" s="1" a="1"/>
  <c r="N70" i="2" s="1"/>
  <c r="J71" i="2"/>
  <c r="N71" i="2" s="1" a="1"/>
  <c r="N71" i="2" s="1"/>
  <c r="J72" i="2"/>
  <c r="N72" i="2" s="1" a="1"/>
  <c r="N72" i="2" s="1"/>
  <c r="J73" i="2"/>
  <c r="N73" i="2" s="1" a="1"/>
  <c r="N73" i="2" s="1"/>
  <c r="J74" i="2"/>
  <c r="N74" i="2" s="1" a="1"/>
  <c r="N74" i="2" s="1"/>
  <c r="J75" i="2"/>
  <c r="N75" i="2" s="1" a="1"/>
  <c r="N75" i="2" s="1"/>
  <c r="J76" i="2"/>
  <c r="N76" i="2" s="1" a="1"/>
  <c r="N76" i="2" s="1"/>
  <c r="J77" i="2"/>
  <c r="N77" i="2" s="1" a="1"/>
  <c r="N77" i="2" s="1"/>
  <c r="J78" i="2"/>
  <c r="N78" i="2" s="1" a="1"/>
  <c r="N78" i="2" s="1"/>
  <c r="J79" i="2"/>
  <c r="N79" i="2" s="1" a="1"/>
  <c r="N79" i="2" s="1"/>
  <c r="J80" i="2"/>
  <c r="N80" i="2" s="1" a="1"/>
  <c r="N80" i="2" s="1"/>
  <c r="J81" i="2"/>
  <c r="N81" i="2" s="1" a="1"/>
  <c r="N81" i="2" s="1"/>
  <c r="J82" i="2"/>
  <c r="N82" i="2" s="1" a="1"/>
  <c r="N82" i="2" s="1"/>
  <c r="J83" i="2"/>
  <c r="N83" i="2" s="1" a="1"/>
  <c r="N83" i="2" s="1"/>
  <c r="J84" i="2"/>
  <c r="N84" i="2" s="1" a="1"/>
  <c r="N84" i="2" s="1"/>
  <c r="J85" i="2"/>
  <c r="N85" i="2" s="1" a="1"/>
  <c r="N85" i="2" s="1"/>
  <c r="J86" i="2"/>
  <c r="N86" i="2" s="1" a="1"/>
  <c r="N86" i="2" s="1"/>
  <c r="J87" i="2"/>
  <c r="N87" i="2" s="1" a="1"/>
  <c r="N87" i="2" s="1"/>
  <c r="J88" i="2"/>
  <c r="N88" i="2" s="1" a="1"/>
  <c r="N88" i="2" s="1"/>
  <c r="J89" i="2"/>
  <c r="N89" i="2" s="1" a="1"/>
  <c r="N89" i="2" s="1"/>
  <c r="J90" i="2"/>
  <c r="N90" i="2" s="1" a="1"/>
  <c r="N90" i="2" s="1"/>
  <c r="J91" i="2"/>
  <c r="N91" i="2" s="1" a="1"/>
  <c r="N91" i="2" s="1"/>
  <c r="J92" i="2"/>
  <c r="N92" i="2" s="1" a="1"/>
  <c r="N92" i="2" s="1"/>
  <c r="J93" i="2"/>
  <c r="N93" i="2" s="1" a="1"/>
  <c r="N93" i="2" s="1"/>
  <c r="J94" i="2"/>
  <c r="N94" i="2" s="1" a="1"/>
  <c r="N94" i="2" s="1"/>
  <c r="J95" i="2"/>
  <c r="N95" i="2" s="1" a="1"/>
  <c r="N95" i="2" s="1"/>
  <c r="J96" i="2"/>
  <c r="N96" i="2" s="1" a="1"/>
  <c r="N96" i="2" s="1"/>
  <c r="J97" i="2"/>
  <c r="N97" i="2" s="1" a="1"/>
  <c r="N97" i="2" s="1"/>
  <c r="J98" i="2"/>
  <c r="N98" i="2" s="1" a="1"/>
  <c r="N98" i="2" s="1"/>
  <c r="J99" i="2"/>
  <c r="N99" i="2" s="1" a="1"/>
  <c r="N99" i="2" s="1"/>
  <c r="J100" i="2"/>
  <c r="N100" i="2" s="1" a="1"/>
  <c r="N100" i="2" s="1"/>
  <c r="J101" i="2"/>
  <c r="N101" i="2" s="1" a="1"/>
  <c r="N101" i="2" s="1"/>
  <c r="J102" i="2"/>
  <c r="N102" i="2" s="1" a="1"/>
  <c r="N102" i="2" s="1"/>
  <c r="J103" i="2"/>
  <c r="N103" i="2" s="1" a="1"/>
  <c r="N103" i="2" s="1"/>
  <c r="J104" i="2"/>
  <c r="N104" i="2" s="1" a="1"/>
  <c r="N104" i="2" s="1"/>
  <c r="J105" i="2"/>
  <c r="N105" i="2" s="1" a="1"/>
  <c r="N105" i="2" s="1"/>
  <c r="J106" i="2"/>
  <c r="N106" i="2" s="1" a="1"/>
  <c r="N106" i="2" s="1"/>
  <c r="J107" i="2"/>
  <c r="N107" i="2" s="1" a="1"/>
  <c r="N107" i="2" s="1"/>
  <c r="J108" i="2"/>
  <c r="N108" i="2" s="1" a="1"/>
  <c r="N108" i="2" s="1"/>
  <c r="J109" i="2"/>
  <c r="N109" i="2" s="1" a="1"/>
  <c r="N109" i="2" s="1"/>
  <c r="J110" i="2"/>
  <c r="N110" i="2" s="1" a="1"/>
  <c r="N110" i="2" s="1"/>
  <c r="J111" i="2"/>
  <c r="N111" i="2" s="1" a="1"/>
  <c r="N111" i="2" s="1"/>
  <c r="J112" i="2"/>
  <c r="N112" i="2" s="1" a="1"/>
  <c r="N112" i="2" s="1"/>
  <c r="J113" i="2"/>
  <c r="N113" i="2" s="1" a="1"/>
  <c r="N113" i="2" s="1"/>
  <c r="J114" i="2"/>
  <c r="N114" i="2" s="1" a="1"/>
  <c r="N114" i="2" s="1"/>
  <c r="J115" i="2"/>
  <c r="N115" i="2" s="1" a="1"/>
  <c r="N115" i="2" s="1"/>
  <c r="J116" i="2"/>
  <c r="N116" i="2" s="1" a="1"/>
  <c r="N116" i="2" s="1"/>
  <c r="J117" i="2"/>
  <c r="N117" i="2" s="1" a="1"/>
  <c r="N117" i="2" s="1"/>
  <c r="J118" i="2"/>
  <c r="N118" i="2" s="1" a="1"/>
  <c r="N118" i="2" s="1"/>
  <c r="J119" i="2"/>
  <c r="N119" i="2" s="1" a="1"/>
  <c r="N119" i="2" s="1"/>
  <c r="J120" i="2"/>
  <c r="N120" i="2" s="1" a="1"/>
  <c r="N120" i="2" s="1"/>
  <c r="J121" i="2"/>
  <c r="N121" i="2" s="1" a="1"/>
  <c r="N121" i="2" s="1"/>
  <c r="J122" i="2"/>
  <c r="N122" i="2" s="1" a="1"/>
  <c r="N122" i="2" s="1"/>
  <c r="J123" i="2"/>
  <c r="N123" i="2" s="1" a="1"/>
  <c r="N123" i="2" s="1"/>
  <c r="J124" i="2"/>
  <c r="N124" i="2" s="1" a="1"/>
  <c r="N124" i="2" s="1"/>
  <c r="J125" i="2"/>
  <c r="N125" i="2" s="1" a="1"/>
  <c r="N125" i="2" s="1"/>
  <c r="J126" i="2"/>
  <c r="N126" i="2" s="1" a="1"/>
  <c r="N126" i="2" s="1"/>
  <c r="J127" i="2"/>
  <c r="N127" i="2" s="1" a="1"/>
  <c r="N127" i="2" s="1"/>
  <c r="J128" i="2"/>
  <c r="N128" i="2" s="1" a="1"/>
  <c r="N128" i="2" s="1"/>
  <c r="J129" i="2"/>
  <c r="N129" i="2" s="1" a="1"/>
  <c r="N129" i="2" s="1"/>
  <c r="J130" i="2"/>
  <c r="N130" i="2" s="1" a="1"/>
  <c r="N130" i="2" s="1"/>
  <c r="J131" i="2"/>
  <c r="N131" i="2" s="1" a="1"/>
  <c r="N131" i="2" s="1"/>
  <c r="J132" i="2"/>
  <c r="N132" i="2" s="1" a="1"/>
  <c r="N132" i="2" s="1"/>
  <c r="J133" i="2"/>
  <c r="N133" i="2" s="1" a="1"/>
  <c r="N133" i="2" s="1"/>
  <c r="J134" i="2"/>
  <c r="N134" i="2" s="1" a="1"/>
  <c r="N134" i="2" s="1"/>
  <c r="J135" i="2"/>
  <c r="N135" i="2" s="1" a="1"/>
  <c r="N135" i="2" s="1"/>
  <c r="J136" i="2"/>
  <c r="N136" i="2" s="1" a="1"/>
  <c r="N136" i="2" s="1"/>
  <c r="J137" i="2"/>
  <c r="N137" i="2" s="1" a="1"/>
  <c r="N137" i="2" s="1"/>
  <c r="J138" i="2"/>
  <c r="N138" i="2" s="1" a="1"/>
  <c r="N138" i="2" s="1"/>
  <c r="J139" i="2"/>
  <c r="N139" i="2" s="1" a="1"/>
  <c r="N139" i="2" s="1"/>
  <c r="J140" i="2"/>
  <c r="N140" i="2" s="1" a="1"/>
  <c r="N140" i="2" s="1"/>
  <c r="J141" i="2"/>
  <c r="N141" i="2" s="1" a="1"/>
  <c r="N141" i="2" s="1"/>
  <c r="J142" i="2"/>
  <c r="N142" i="2" s="1" a="1"/>
  <c r="N142" i="2" s="1"/>
  <c r="J143" i="2"/>
  <c r="N143" i="2" s="1" a="1"/>
  <c r="N143" i="2" s="1"/>
  <c r="J144" i="2"/>
  <c r="N144" i="2" s="1" a="1"/>
  <c r="N144" i="2" s="1"/>
  <c r="J145" i="2"/>
  <c r="N145" i="2" s="1" a="1"/>
  <c r="N145" i="2" s="1"/>
  <c r="J146" i="2"/>
  <c r="N146" i="2" s="1" a="1"/>
  <c r="N146" i="2" s="1"/>
  <c r="J147" i="2"/>
  <c r="N147" i="2" s="1" a="1"/>
  <c r="N147" i="2" s="1"/>
  <c r="J148" i="2"/>
  <c r="N148" i="2" s="1" a="1"/>
  <c r="N148" i="2" s="1"/>
  <c r="J149" i="2"/>
  <c r="N149" i="2" s="1" a="1"/>
  <c r="N149" i="2" s="1"/>
  <c r="J150" i="2"/>
  <c r="N150" i="2" s="1" a="1"/>
  <c r="N150" i="2" s="1"/>
  <c r="J151" i="2"/>
  <c r="N151" i="2" s="1" a="1"/>
  <c r="N151" i="2" s="1"/>
  <c r="J152" i="2"/>
  <c r="N152" i="2" s="1" a="1"/>
  <c r="N152" i="2" s="1"/>
  <c r="J153" i="2"/>
  <c r="N153" i="2" s="1" a="1"/>
  <c r="N153" i="2" s="1"/>
  <c r="J154" i="2"/>
  <c r="N154" i="2" s="1" a="1"/>
  <c r="N154" i="2" s="1"/>
  <c r="J155" i="2"/>
  <c r="N155" i="2" s="1" a="1"/>
  <c r="N155" i="2" s="1"/>
  <c r="J156" i="2"/>
  <c r="N156" i="2" s="1" a="1"/>
  <c r="N156" i="2" s="1"/>
  <c r="J157" i="2"/>
  <c r="N157" i="2" s="1" a="1"/>
  <c r="N157" i="2" s="1"/>
  <c r="J158" i="2"/>
  <c r="N158" i="2" s="1" a="1"/>
  <c r="N158" i="2" s="1"/>
  <c r="J159" i="2"/>
  <c r="N159" i="2" s="1" a="1"/>
  <c r="N159" i="2" s="1"/>
  <c r="J160" i="2"/>
  <c r="N160" i="2" s="1" a="1"/>
  <c r="N160" i="2" s="1"/>
  <c r="J161" i="2"/>
  <c r="N161" i="2" s="1" a="1"/>
  <c r="N161" i="2" s="1"/>
  <c r="J162" i="2"/>
  <c r="N162" i="2" s="1" a="1"/>
  <c r="N162" i="2" s="1"/>
  <c r="J163" i="2"/>
  <c r="N163" i="2" s="1" a="1"/>
  <c r="N163" i="2" s="1"/>
  <c r="J164" i="2"/>
  <c r="N164" i="2" s="1" a="1"/>
  <c r="N164" i="2" s="1"/>
  <c r="J165" i="2"/>
  <c r="N165" i="2" s="1" a="1"/>
  <c r="N165" i="2" s="1"/>
  <c r="J166" i="2"/>
  <c r="N166" i="2" s="1" a="1"/>
  <c r="N166" i="2" s="1"/>
  <c r="J167" i="2"/>
  <c r="N167" i="2" s="1" a="1"/>
  <c r="N167" i="2" s="1"/>
  <c r="J168" i="2"/>
  <c r="N168" i="2" s="1" a="1"/>
  <c r="N168" i="2" s="1"/>
  <c r="J169" i="2"/>
  <c r="N169" i="2" s="1" a="1"/>
  <c r="N169" i="2" s="1"/>
  <c r="J170" i="2"/>
  <c r="N170" i="2" s="1" a="1"/>
  <c r="N170" i="2" s="1"/>
  <c r="J171" i="2"/>
  <c r="N171" i="2" s="1" a="1"/>
  <c r="N171" i="2" s="1"/>
  <c r="J172" i="2"/>
  <c r="N172" i="2" s="1" a="1"/>
  <c r="N172" i="2" s="1"/>
  <c r="J173" i="2"/>
  <c r="N173" i="2" s="1" a="1"/>
  <c r="N173" i="2" s="1"/>
  <c r="J174" i="2"/>
  <c r="N174" i="2" s="1" a="1"/>
  <c r="N174" i="2" s="1"/>
  <c r="J175" i="2"/>
  <c r="N175" i="2" s="1" a="1"/>
  <c r="N175" i="2" s="1"/>
  <c r="J176" i="2"/>
  <c r="N176" i="2" s="1" a="1"/>
  <c r="N176" i="2" s="1"/>
  <c r="J177" i="2"/>
  <c r="N177" i="2" s="1" a="1"/>
  <c r="N177" i="2" s="1"/>
  <c r="J178" i="2"/>
  <c r="N178" i="2" s="1" a="1"/>
  <c r="N178" i="2" s="1"/>
  <c r="J179" i="2"/>
  <c r="N179" i="2" s="1" a="1"/>
  <c r="N179" i="2" s="1"/>
  <c r="J180" i="2"/>
  <c r="N180" i="2" s="1" a="1"/>
  <c r="N180" i="2" s="1"/>
  <c r="J181" i="2"/>
  <c r="N181" i="2" s="1" a="1"/>
  <c r="N181" i="2" s="1"/>
  <c r="J182" i="2"/>
  <c r="N182" i="2" s="1" a="1"/>
  <c r="N182" i="2" s="1"/>
  <c r="J183" i="2"/>
  <c r="N183" i="2" s="1" a="1"/>
  <c r="N183" i="2" s="1"/>
  <c r="J184" i="2"/>
  <c r="N184" i="2" s="1" a="1"/>
  <c r="N184" i="2" s="1"/>
  <c r="J185" i="2"/>
  <c r="N185" i="2" s="1" a="1"/>
  <c r="N185" i="2" s="1"/>
  <c r="J186" i="2"/>
  <c r="N186" i="2" s="1" a="1"/>
  <c r="N186" i="2" s="1"/>
  <c r="J187" i="2"/>
  <c r="N187" i="2" s="1" a="1"/>
  <c r="N187" i="2" s="1"/>
  <c r="J188" i="2"/>
  <c r="N188" i="2" s="1" a="1"/>
  <c r="N188" i="2" s="1"/>
  <c r="J189" i="2"/>
  <c r="N189" i="2" s="1" a="1"/>
  <c r="N189" i="2" s="1"/>
  <c r="J190" i="2"/>
  <c r="N190" i="2" s="1" a="1"/>
  <c r="N190" i="2" s="1"/>
  <c r="J191" i="2"/>
  <c r="N191" i="2" s="1" a="1"/>
  <c r="N191" i="2" s="1"/>
  <c r="J192" i="2"/>
  <c r="N192" i="2" s="1" a="1"/>
  <c r="N192" i="2" s="1"/>
  <c r="J193" i="2"/>
  <c r="N193" i="2" s="1" a="1"/>
  <c r="N193" i="2" s="1"/>
  <c r="J194" i="2"/>
  <c r="N194" i="2" s="1" a="1"/>
  <c r="N194" i="2" s="1"/>
  <c r="J195" i="2"/>
  <c r="N195" i="2" s="1" a="1"/>
  <c r="N195" i="2" s="1"/>
  <c r="J196" i="2"/>
  <c r="N196" i="2" s="1" a="1"/>
  <c r="N196" i="2" s="1"/>
  <c r="J197" i="2"/>
  <c r="N197" i="2" s="1" a="1"/>
  <c r="N197" i="2" s="1"/>
  <c r="J198" i="2"/>
  <c r="N198" i="2" s="1" a="1"/>
  <c r="N198" i="2" s="1"/>
  <c r="J199" i="2"/>
  <c r="N199" i="2" s="1" a="1"/>
  <c r="N199" i="2" s="1"/>
  <c r="J200" i="2"/>
  <c r="N200" i="2" s="1" a="1"/>
  <c r="N200" i="2" s="1"/>
  <c r="J201" i="2"/>
  <c r="N201" i="2" s="1" a="1"/>
  <c r="N201" i="2" s="1"/>
  <c r="J202" i="2"/>
  <c r="N202" i="2" s="1" a="1"/>
  <c r="N202" i="2" s="1"/>
  <c r="J203" i="2"/>
  <c r="N203" i="2" s="1" a="1"/>
  <c r="N203" i="2" s="1"/>
  <c r="J204" i="2"/>
  <c r="N204" i="2" s="1" a="1"/>
  <c r="N204" i="2" s="1"/>
  <c r="J205" i="2"/>
  <c r="N205" i="2" s="1" a="1"/>
  <c r="N205" i="2" s="1"/>
  <c r="J206" i="2"/>
  <c r="N206" i="2" s="1" a="1"/>
  <c r="N206" i="2" s="1"/>
  <c r="J207" i="2"/>
  <c r="N207" i="2" s="1" a="1"/>
  <c r="N207" i="2" s="1"/>
  <c r="J208" i="2"/>
  <c r="N208" i="2" s="1" a="1"/>
  <c r="N208" i="2" s="1"/>
  <c r="J209" i="2"/>
  <c r="N209" i="2" s="1" a="1"/>
  <c r="N209" i="2" s="1"/>
  <c r="J210" i="2"/>
  <c r="N210" i="2" s="1" a="1"/>
  <c r="N210" i="2" s="1"/>
  <c r="J211" i="2"/>
  <c r="N211" i="2" s="1" a="1"/>
  <c r="N211" i="2" s="1"/>
  <c r="J212" i="2"/>
  <c r="N212" i="2" s="1" a="1"/>
  <c r="N212" i="2" s="1"/>
  <c r="J213" i="2"/>
  <c r="N213" i="2" s="1" a="1"/>
  <c r="N213" i="2" s="1"/>
  <c r="J214" i="2"/>
  <c r="N214" i="2" s="1" a="1"/>
  <c r="N214" i="2" s="1"/>
  <c r="J215" i="2"/>
  <c r="N215" i="2" s="1" a="1"/>
  <c r="N215" i="2" s="1"/>
  <c r="J216" i="2"/>
  <c r="N216" i="2" s="1" a="1"/>
  <c r="N216" i="2" s="1"/>
  <c r="J217" i="2"/>
  <c r="N217" i="2" s="1" a="1"/>
  <c r="N217" i="2" s="1"/>
  <c r="J218" i="2"/>
  <c r="N218" i="2" s="1" a="1"/>
  <c r="N218" i="2" s="1"/>
  <c r="J219" i="2"/>
  <c r="N219" i="2" s="1" a="1"/>
  <c r="N219" i="2" s="1"/>
  <c r="J220" i="2"/>
  <c r="N220" i="2" s="1" a="1"/>
  <c r="N220" i="2" s="1"/>
  <c r="J221" i="2"/>
  <c r="N221" i="2" s="1" a="1"/>
  <c r="N221" i="2" s="1"/>
  <c r="J222" i="2"/>
  <c r="N222" i="2" s="1" a="1"/>
  <c r="N222" i="2" s="1"/>
  <c r="J223" i="2"/>
  <c r="N223" i="2" s="1" a="1"/>
  <c r="N223" i="2" s="1"/>
  <c r="J224" i="2"/>
  <c r="N224" i="2" s="1" a="1"/>
  <c r="N224" i="2" s="1"/>
  <c r="J225" i="2"/>
  <c r="N225" i="2" s="1" a="1"/>
  <c r="N225" i="2" s="1"/>
  <c r="J226" i="2"/>
  <c r="N226" i="2" s="1" a="1"/>
  <c r="N226" i="2" s="1"/>
  <c r="J227" i="2"/>
  <c r="N227" i="2" s="1" a="1"/>
  <c r="N227" i="2" s="1"/>
  <c r="J228" i="2"/>
  <c r="N228" i="2" s="1" a="1"/>
  <c r="N228" i="2" s="1"/>
  <c r="J229" i="2"/>
  <c r="N229" i="2" s="1" a="1"/>
  <c r="N229" i="2" s="1"/>
  <c r="J230" i="2"/>
  <c r="N230" i="2" s="1" a="1"/>
  <c r="N230" i="2" s="1"/>
  <c r="J231" i="2"/>
  <c r="N231" i="2" s="1" a="1"/>
  <c r="N231" i="2" s="1"/>
  <c r="J232" i="2"/>
  <c r="N232" i="2" s="1" a="1"/>
  <c r="N232" i="2" s="1"/>
  <c r="J233" i="2"/>
  <c r="N233" i="2" s="1" a="1"/>
  <c r="N233" i="2" s="1"/>
  <c r="J234" i="2"/>
  <c r="N234" i="2" s="1" a="1"/>
  <c r="N234" i="2" s="1"/>
  <c r="J235" i="2"/>
  <c r="N235" i="2" s="1" a="1"/>
  <c r="N235" i="2" s="1"/>
  <c r="J236" i="2"/>
  <c r="N236" i="2" s="1" a="1"/>
  <c r="N236" i="2" s="1"/>
  <c r="J237" i="2"/>
  <c r="N237" i="2" s="1" a="1"/>
  <c r="N237" i="2" s="1"/>
  <c r="J238" i="2"/>
  <c r="N238" i="2" s="1" a="1"/>
  <c r="N238" i="2" s="1"/>
  <c r="J239" i="2"/>
  <c r="N239" i="2" s="1" a="1"/>
  <c r="N239" i="2" s="1"/>
  <c r="J240" i="2"/>
  <c r="N240" i="2" s="1" a="1"/>
  <c r="N240" i="2" s="1"/>
  <c r="J241" i="2"/>
  <c r="N241" i="2" s="1" a="1"/>
  <c r="N241" i="2" s="1"/>
  <c r="J242" i="2"/>
  <c r="N242" i="2" s="1" a="1"/>
  <c r="N242" i="2" s="1"/>
  <c r="J243" i="2"/>
  <c r="N243" i="2" s="1" a="1"/>
  <c r="N243" i="2" s="1"/>
  <c r="J244" i="2"/>
  <c r="N244" i="2" s="1" a="1"/>
  <c r="N244" i="2" s="1"/>
  <c r="J245" i="2"/>
  <c r="N245" i="2" s="1" a="1"/>
  <c r="N245" i="2" s="1"/>
  <c r="J246" i="2"/>
  <c r="N246" i="2" s="1" a="1"/>
  <c r="N246" i="2" s="1"/>
  <c r="J247" i="2"/>
  <c r="N247" i="2" s="1" a="1"/>
  <c r="N247" i="2" s="1"/>
  <c r="J248" i="2"/>
  <c r="N248" i="2" s="1" a="1"/>
  <c r="N248" i="2" s="1"/>
  <c r="J249" i="2"/>
  <c r="N249" i="2" s="1" a="1"/>
  <c r="N249" i="2" s="1"/>
  <c r="J250" i="2"/>
  <c r="N250" i="2" s="1" a="1"/>
  <c r="N250" i="2" s="1"/>
  <c r="J251" i="2"/>
  <c r="N251" i="2" s="1" a="1"/>
  <c r="N251" i="2" s="1"/>
  <c r="J252" i="2"/>
  <c r="N252" i="2" s="1" a="1"/>
  <c r="N252" i="2" s="1"/>
  <c r="J253" i="2"/>
  <c r="N253" i="2" s="1" a="1"/>
  <c r="N253" i="2" s="1"/>
  <c r="J254" i="2"/>
  <c r="N254" i="2" s="1" a="1"/>
  <c r="N254" i="2" s="1"/>
  <c r="J255" i="2"/>
  <c r="N255" i="2" s="1" a="1"/>
  <c r="N255" i="2" s="1"/>
  <c r="J256" i="2"/>
  <c r="N256" i="2" s="1" a="1"/>
  <c r="N256" i="2" s="1"/>
  <c r="J257" i="2"/>
  <c r="N257" i="2" s="1" a="1"/>
  <c r="N257" i="2" s="1"/>
  <c r="J258" i="2"/>
  <c r="N258" i="2" s="1" a="1"/>
  <c r="N258" i="2" s="1"/>
  <c r="J259" i="2"/>
  <c r="N259" i="2" s="1" a="1"/>
  <c r="N259" i="2" s="1"/>
  <c r="J260" i="2"/>
  <c r="N260" i="2" s="1" a="1"/>
  <c r="N260" i="2" s="1"/>
  <c r="J261" i="2"/>
  <c r="N261" i="2" s="1" a="1"/>
  <c r="N261" i="2" s="1"/>
  <c r="J262" i="2"/>
  <c r="N262" i="2" s="1" a="1"/>
  <c r="N262" i="2" s="1"/>
  <c r="J263" i="2"/>
  <c r="N263" i="2" s="1" a="1"/>
  <c r="N263" i="2" s="1"/>
  <c r="J264" i="2"/>
  <c r="N264" i="2" s="1" a="1"/>
  <c r="N264" i="2" s="1"/>
  <c r="J265" i="2"/>
  <c r="N265" i="2" s="1" a="1"/>
  <c r="N265" i="2" s="1"/>
  <c r="J266" i="2"/>
  <c r="N266" i="2" s="1" a="1"/>
  <c r="N266" i="2" s="1"/>
  <c r="J267" i="2"/>
  <c r="N267" i="2" s="1" a="1"/>
  <c r="N267" i="2" s="1"/>
  <c r="J268" i="2"/>
  <c r="N268" i="2" s="1" a="1"/>
  <c r="N268" i="2" s="1"/>
  <c r="J269" i="2"/>
  <c r="N269" i="2" s="1" a="1"/>
  <c r="N269" i="2" s="1"/>
  <c r="J270" i="2"/>
  <c r="N270" i="2" s="1" a="1"/>
  <c r="N270" i="2" s="1"/>
  <c r="J271" i="2"/>
  <c r="N271" i="2" s="1" a="1"/>
  <c r="N271" i="2" s="1"/>
  <c r="J272" i="2"/>
  <c r="N272" i="2" s="1" a="1"/>
  <c r="N272" i="2" s="1"/>
  <c r="J273" i="2"/>
  <c r="N273" i="2" s="1" a="1"/>
  <c r="N273" i="2" s="1"/>
  <c r="J274" i="2"/>
  <c r="N274" i="2" s="1" a="1"/>
  <c r="N274" i="2" s="1"/>
  <c r="J275" i="2"/>
  <c r="N275" i="2" s="1" a="1"/>
  <c r="N275" i="2" s="1"/>
  <c r="J276" i="2"/>
  <c r="N276" i="2" s="1" a="1"/>
  <c r="N276" i="2" s="1"/>
  <c r="J277" i="2"/>
  <c r="N277" i="2" s="1" a="1"/>
  <c r="N277" i="2" s="1"/>
  <c r="J278" i="2"/>
  <c r="N278" i="2" s="1" a="1"/>
  <c r="N278" i="2" s="1"/>
  <c r="J279" i="2"/>
  <c r="N279" i="2" s="1" a="1"/>
  <c r="N279" i="2" s="1"/>
  <c r="J280" i="2"/>
  <c r="N280" i="2" s="1" a="1"/>
  <c r="N280" i="2" s="1"/>
  <c r="J281" i="2"/>
  <c r="N281" i="2" s="1" a="1"/>
  <c r="N281" i="2" s="1"/>
  <c r="J282" i="2"/>
  <c r="N282" i="2" s="1" a="1"/>
  <c r="N282" i="2" s="1"/>
  <c r="J283" i="2"/>
  <c r="N283" i="2" s="1" a="1"/>
  <c r="N283" i="2" s="1"/>
  <c r="J284" i="2"/>
  <c r="N284" i="2" s="1" a="1"/>
  <c r="N284" i="2" s="1"/>
  <c r="J285" i="2"/>
  <c r="N285" i="2" s="1" a="1"/>
  <c r="N285" i="2" s="1"/>
  <c r="J286" i="2"/>
  <c r="N286" i="2" s="1" a="1"/>
  <c r="N286" i="2" s="1"/>
  <c r="J287" i="2"/>
  <c r="N287" i="2" s="1" a="1"/>
  <c r="N287" i="2" s="1"/>
  <c r="J288" i="2"/>
  <c r="N288" i="2" s="1" a="1"/>
  <c r="N288" i="2" s="1"/>
  <c r="J289" i="2"/>
  <c r="N289" i="2" s="1" a="1"/>
  <c r="N289" i="2" s="1"/>
  <c r="J290" i="2"/>
  <c r="N290" i="2" s="1" a="1"/>
  <c r="N290" i="2" s="1"/>
  <c r="J291" i="2"/>
  <c r="N291" i="2" s="1" a="1"/>
  <c r="N291" i="2" s="1"/>
  <c r="J292" i="2"/>
  <c r="N292" i="2" s="1" a="1"/>
  <c r="N292" i="2" s="1"/>
  <c r="J293" i="2"/>
  <c r="N293" i="2" s="1" a="1"/>
  <c r="N293" i="2" s="1"/>
  <c r="J294" i="2"/>
  <c r="N294" i="2" s="1" a="1"/>
  <c r="N294" i="2" s="1"/>
  <c r="J295" i="2"/>
  <c r="N295" i="2" s="1" a="1"/>
  <c r="N295" i="2" s="1"/>
  <c r="J296" i="2"/>
  <c r="N296" i="2" s="1" a="1"/>
  <c r="N296" i="2" s="1"/>
  <c r="J297" i="2"/>
  <c r="N297" i="2" s="1" a="1"/>
  <c r="N297" i="2" s="1"/>
  <c r="J298" i="2"/>
  <c r="N298" i="2" s="1" a="1"/>
  <c r="N298" i="2" s="1"/>
  <c r="J299" i="2"/>
  <c r="N299" i="2" s="1" a="1"/>
  <c r="N299" i="2" s="1"/>
  <c r="J300" i="2"/>
  <c r="N300" i="2" s="1" a="1"/>
  <c r="N300" i="2" s="1"/>
  <c r="J301" i="2"/>
  <c r="N301" i="2" s="1" a="1"/>
  <c r="N301" i="2" s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2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A287" i="2"/>
  <c r="A285" i="2"/>
  <c r="A5" i="2"/>
  <c r="A3" i="2"/>
  <c r="A4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6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2" i="2"/>
  <c r="O251" i="2" l="1"/>
  <c r="P251" i="2" s="1" a="1"/>
  <c r="P251" i="2" s="1"/>
  <c r="O23" i="2"/>
  <c r="P23" i="2" s="1" a="1"/>
  <c r="P23" i="2" s="1"/>
  <c r="O11" i="2"/>
  <c r="P11" i="2" s="1" a="1"/>
  <c r="P11" i="2" s="1"/>
  <c r="O298" i="2"/>
  <c r="P298" i="2" s="1" a="1"/>
  <c r="P298" i="2" s="1"/>
  <c r="O286" i="2"/>
  <c r="P286" i="2" s="1" a="1"/>
  <c r="P286" i="2" s="1"/>
  <c r="O274" i="2"/>
  <c r="P274" i="2" s="1" a="1"/>
  <c r="P274" i="2" s="1"/>
  <c r="O262" i="2"/>
  <c r="P262" i="2" s="1" a="1"/>
  <c r="P262" i="2" s="1"/>
  <c r="O250" i="2"/>
  <c r="P250" i="2" s="1" a="1"/>
  <c r="P250" i="2" s="1"/>
  <c r="O238" i="2"/>
  <c r="P238" i="2" s="1" a="1"/>
  <c r="P238" i="2" s="1"/>
  <c r="O226" i="2"/>
  <c r="P226" i="2" s="1" a="1"/>
  <c r="P226" i="2" s="1"/>
  <c r="O214" i="2"/>
  <c r="P214" i="2" s="1" a="1"/>
  <c r="P214" i="2" s="1"/>
  <c r="O202" i="2"/>
  <c r="P202" i="2" s="1" a="1"/>
  <c r="P202" i="2" s="1"/>
  <c r="O166" i="2"/>
  <c r="P166" i="2" s="1" a="1"/>
  <c r="P166" i="2" s="1"/>
  <c r="O130" i="2"/>
  <c r="P130" i="2" s="1" a="1"/>
  <c r="P130" i="2" s="1"/>
  <c r="O118" i="2"/>
  <c r="P118" i="2" s="1" a="1"/>
  <c r="P118" i="2" s="1"/>
  <c r="O106" i="2"/>
  <c r="P106" i="2" s="1" a="1"/>
  <c r="P106" i="2" s="1"/>
  <c r="O94" i="2"/>
  <c r="P94" i="2" s="1" a="1"/>
  <c r="P94" i="2" s="1"/>
  <c r="O82" i="2"/>
  <c r="P82" i="2" s="1" a="1"/>
  <c r="P82" i="2" s="1"/>
  <c r="O70" i="2"/>
  <c r="P70" i="2" s="1" a="1"/>
  <c r="P70" i="2" s="1"/>
  <c r="O58" i="2"/>
  <c r="P58" i="2" s="1" a="1"/>
  <c r="P58" i="2" s="1"/>
  <c r="O46" i="2"/>
  <c r="P46" i="2" s="1" a="1"/>
  <c r="P46" i="2" s="1"/>
  <c r="O34" i="2"/>
  <c r="P34" i="2" s="1" a="1"/>
  <c r="P34" i="2" s="1"/>
  <c r="O22" i="2"/>
  <c r="P22" i="2" s="1" a="1"/>
  <c r="P22" i="2" s="1"/>
  <c r="O10" i="2"/>
  <c r="P10" i="2" s="1" a="1"/>
  <c r="P10" i="2" s="1"/>
  <c r="O297" i="2"/>
  <c r="P297" i="2" s="1" a="1"/>
  <c r="P297" i="2" s="1"/>
  <c r="O285" i="2"/>
  <c r="P285" i="2" s="1" a="1"/>
  <c r="P285" i="2" s="1"/>
  <c r="O273" i="2"/>
  <c r="P273" i="2" s="1" a="1"/>
  <c r="P273" i="2" s="1"/>
  <c r="O261" i="2"/>
  <c r="P261" i="2" s="1" a="1"/>
  <c r="P261" i="2" s="1"/>
  <c r="O249" i="2"/>
  <c r="P249" i="2" s="1" a="1"/>
  <c r="P249" i="2" s="1"/>
  <c r="O237" i="2"/>
  <c r="P237" i="2" s="1" a="1"/>
  <c r="P237" i="2" s="1"/>
  <c r="O225" i="2"/>
  <c r="P225" i="2" s="1" a="1"/>
  <c r="P225" i="2" s="1"/>
  <c r="O213" i="2"/>
  <c r="P213" i="2" s="1" a="1"/>
  <c r="P213" i="2" s="1"/>
  <c r="O201" i="2"/>
  <c r="P201" i="2" s="1" a="1"/>
  <c r="P201" i="2" s="1"/>
  <c r="O189" i="2"/>
  <c r="P189" i="2" s="1" a="1"/>
  <c r="P189" i="2" s="1"/>
  <c r="O177" i="2"/>
  <c r="P177" i="2" s="1" a="1"/>
  <c r="P177" i="2" s="1"/>
  <c r="O165" i="2"/>
  <c r="P165" i="2" s="1" a="1"/>
  <c r="P165" i="2" s="1"/>
  <c r="O153" i="2"/>
  <c r="P153" i="2" s="1" a="1"/>
  <c r="P153" i="2" s="1"/>
  <c r="O141" i="2"/>
  <c r="P141" i="2" s="1" a="1"/>
  <c r="P141" i="2" s="1"/>
  <c r="O129" i="2"/>
  <c r="P129" i="2" s="1" a="1"/>
  <c r="P129" i="2" s="1"/>
  <c r="O117" i="2"/>
  <c r="P117" i="2" s="1" a="1"/>
  <c r="P117" i="2" s="1"/>
  <c r="O105" i="2"/>
  <c r="P105" i="2" s="1" a="1"/>
  <c r="P105" i="2" s="1"/>
  <c r="O93" i="2"/>
  <c r="P93" i="2" s="1" a="1"/>
  <c r="P93" i="2" s="1"/>
  <c r="O81" i="2"/>
  <c r="P81" i="2" s="1" a="1"/>
  <c r="P81" i="2" s="1"/>
  <c r="O69" i="2"/>
  <c r="P69" i="2" s="1" a="1"/>
  <c r="P69" i="2" s="1"/>
  <c r="O57" i="2"/>
  <c r="P57" i="2" s="1" a="1"/>
  <c r="P57" i="2" s="1"/>
  <c r="O45" i="2"/>
  <c r="P45" i="2" s="1" a="1"/>
  <c r="P45" i="2" s="1"/>
  <c r="O33" i="2"/>
  <c r="P33" i="2" s="1" a="1"/>
  <c r="P33" i="2" s="1"/>
  <c r="O21" i="2"/>
  <c r="P21" i="2" s="1" a="1"/>
  <c r="P21" i="2" s="1"/>
  <c r="O9" i="2"/>
  <c r="P9" i="2" s="1" a="1"/>
  <c r="P9" i="2" s="1"/>
  <c r="O296" i="2"/>
  <c r="P296" i="2" s="1" a="1"/>
  <c r="P296" i="2" s="1"/>
  <c r="O284" i="2"/>
  <c r="P284" i="2" s="1" a="1"/>
  <c r="P284" i="2" s="1"/>
  <c r="O272" i="2"/>
  <c r="P272" i="2" s="1" a="1"/>
  <c r="P272" i="2" s="1"/>
  <c r="O260" i="2"/>
  <c r="P260" i="2" s="1" a="1"/>
  <c r="P260" i="2" s="1"/>
  <c r="O248" i="2"/>
  <c r="P248" i="2" s="1" a="1"/>
  <c r="P248" i="2" s="1"/>
  <c r="O236" i="2"/>
  <c r="P236" i="2" s="1" a="1"/>
  <c r="P236" i="2" s="1"/>
  <c r="O224" i="2"/>
  <c r="P224" i="2" s="1" a="1"/>
  <c r="P224" i="2" s="1"/>
  <c r="O212" i="2"/>
  <c r="P212" i="2" s="1" a="1"/>
  <c r="P212" i="2" s="1"/>
  <c r="O200" i="2"/>
  <c r="P200" i="2" s="1" a="1"/>
  <c r="P200" i="2" s="1"/>
  <c r="O188" i="2"/>
  <c r="P188" i="2" s="1" a="1"/>
  <c r="P188" i="2" s="1"/>
  <c r="O176" i="2"/>
  <c r="P176" i="2" s="1" a="1"/>
  <c r="P176" i="2" s="1"/>
  <c r="O164" i="2"/>
  <c r="P164" i="2" s="1" a="1"/>
  <c r="P164" i="2" s="1"/>
  <c r="O152" i="2"/>
  <c r="P152" i="2" s="1" a="1"/>
  <c r="P152" i="2" s="1"/>
  <c r="O140" i="2"/>
  <c r="P140" i="2" s="1" a="1"/>
  <c r="P140" i="2" s="1"/>
  <c r="O128" i="2"/>
  <c r="P128" i="2" s="1" a="1"/>
  <c r="P128" i="2" s="1"/>
  <c r="O116" i="2"/>
  <c r="P116" i="2" s="1" a="1"/>
  <c r="P116" i="2" s="1"/>
  <c r="O104" i="2"/>
  <c r="P104" i="2" s="1" a="1"/>
  <c r="P104" i="2" s="1"/>
  <c r="O92" i="2"/>
  <c r="P92" i="2" s="1" a="1"/>
  <c r="P92" i="2" s="1"/>
  <c r="O80" i="2"/>
  <c r="P80" i="2" s="1" a="1"/>
  <c r="P80" i="2" s="1"/>
  <c r="O68" i="2"/>
  <c r="P68" i="2" s="1" a="1"/>
  <c r="P68" i="2" s="1"/>
  <c r="O56" i="2"/>
  <c r="P56" i="2" s="1" a="1"/>
  <c r="P56" i="2" s="1"/>
  <c r="O44" i="2"/>
  <c r="P44" i="2" s="1" a="1"/>
  <c r="P44" i="2" s="1"/>
  <c r="O32" i="2"/>
  <c r="P32" i="2" s="1" a="1"/>
  <c r="P32" i="2" s="1"/>
  <c r="O20" i="2"/>
  <c r="P20" i="2" s="1" a="1"/>
  <c r="P20" i="2" s="1"/>
  <c r="O8" i="2"/>
  <c r="P8" i="2" s="1" a="1"/>
  <c r="P8" i="2" s="1"/>
  <c r="O295" i="2"/>
  <c r="P295" i="2" s="1" a="1"/>
  <c r="P295" i="2" s="1"/>
  <c r="O283" i="2"/>
  <c r="P283" i="2" s="1" a="1"/>
  <c r="P283" i="2" s="1"/>
  <c r="O271" i="2"/>
  <c r="P271" i="2" s="1" a="1"/>
  <c r="P271" i="2" s="1"/>
  <c r="O259" i="2"/>
  <c r="P259" i="2" s="1" a="1"/>
  <c r="P259" i="2" s="1"/>
  <c r="O247" i="2"/>
  <c r="P247" i="2" s="1" a="1"/>
  <c r="P247" i="2" s="1"/>
  <c r="O235" i="2"/>
  <c r="P235" i="2" s="1" a="1"/>
  <c r="P235" i="2" s="1"/>
  <c r="O223" i="2"/>
  <c r="P223" i="2" s="1" a="1"/>
  <c r="P223" i="2" s="1"/>
  <c r="O211" i="2"/>
  <c r="P211" i="2" s="1" a="1"/>
  <c r="P211" i="2" s="1"/>
  <c r="O199" i="2"/>
  <c r="P199" i="2" s="1" a="1"/>
  <c r="P199" i="2" s="1"/>
  <c r="O187" i="2"/>
  <c r="P187" i="2" s="1" a="1"/>
  <c r="P187" i="2" s="1"/>
  <c r="O175" i="2"/>
  <c r="P175" i="2" s="1" a="1"/>
  <c r="P175" i="2" s="1"/>
  <c r="O163" i="2"/>
  <c r="P163" i="2" s="1" a="1"/>
  <c r="P163" i="2" s="1"/>
  <c r="O151" i="2"/>
  <c r="P151" i="2" s="1" a="1"/>
  <c r="P151" i="2" s="1"/>
  <c r="O139" i="2"/>
  <c r="P139" i="2" s="1" a="1"/>
  <c r="P139" i="2" s="1"/>
  <c r="O127" i="2"/>
  <c r="P127" i="2" s="1" a="1"/>
  <c r="P127" i="2" s="1"/>
  <c r="O115" i="2"/>
  <c r="P115" i="2" s="1" a="1"/>
  <c r="P115" i="2" s="1"/>
  <c r="O103" i="2"/>
  <c r="P103" i="2" s="1" a="1"/>
  <c r="P103" i="2" s="1"/>
  <c r="O91" i="2"/>
  <c r="P91" i="2" s="1" a="1"/>
  <c r="P91" i="2" s="1"/>
  <c r="O79" i="2"/>
  <c r="P79" i="2" s="1" a="1"/>
  <c r="P79" i="2" s="1"/>
  <c r="O67" i="2"/>
  <c r="P67" i="2" s="1" a="1"/>
  <c r="P67" i="2" s="1"/>
  <c r="O55" i="2"/>
  <c r="P55" i="2" s="1" a="1"/>
  <c r="P55" i="2" s="1"/>
  <c r="O43" i="2"/>
  <c r="P43" i="2" s="1" a="1"/>
  <c r="P43" i="2" s="1"/>
  <c r="O31" i="2"/>
  <c r="P31" i="2" s="1" a="1"/>
  <c r="P31" i="2" s="1"/>
  <c r="O19" i="2"/>
  <c r="P19" i="2" s="1" a="1"/>
  <c r="P19" i="2" s="1"/>
  <c r="O7" i="2"/>
  <c r="P7" i="2" s="1" a="1"/>
  <c r="P7" i="2" s="1"/>
  <c r="O294" i="2"/>
  <c r="P294" i="2" s="1" a="1"/>
  <c r="P294" i="2" s="1"/>
  <c r="O282" i="2"/>
  <c r="P282" i="2" s="1" a="1"/>
  <c r="P282" i="2" s="1"/>
  <c r="O270" i="2"/>
  <c r="P270" i="2" s="1" a="1"/>
  <c r="P270" i="2" s="1"/>
  <c r="O258" i="2"/>
  <c r="P258" i="2" s="1" a="1"/>
  <c r="P258" i="2" s="1"/>
  <c r="O246" i="2"/>
  <c r="P246" i="2" s="1" a="1"/>
  <c r="P246" i="2" s="1"/>
  <c r="O234" i="2"/>
  <c r="P234" i="2" s="1" a="1"/>
  <c r="P234" i="2" s="1"/>
  <c r="O222" i="2"/>
  <c r="P222" i="2" s="1" a="1"/>
  <c r="P222" i="2" s="1"/>
  <c r="O210" i="2"/>
  <c r="P210" i="2" s="1" a="1"/>
  <c r="P210" i="2" s="1"/>
  <c r="O198" i="2"/>
  <c r="P198" i="2" s="1" a="1"/>
  <c r="P198" i="2" s="1"/>
  <c r="O186" i="2"/>
  <c r="P186" i="2" s="1" a="1"/>
  <c r="P186" i="2" s="1"/>
  <c r="O174" i="2"/>
  <c r="P174" i="2" s="1" a="1"/>
  <c r="P174" i="2" s="1"/>
  <c r="O162" i="2"/>
  <c r="P162" i="2" s="1" a="1"/>
  <c r="P162" i="2" s="1"/>
  <c r="O150" i="2"/>
  <c r="P150" i="2" s="1" a="1"/>
  <c r="P150" i="2" s="1"/>
  <c r="O138" i="2"/>
  <c r="P138" i="2" s="1" a="1"/>
  <c r="P138" i="2" s="1"/>
  <c r="O126" i="2"/>
  <c r="P126" i="2" s="1" a="1"/>
  <c r="P126" i="2" s="1"/>
  <c r="O114" i="2"/>
  <c r="P114" i="2" s="1" a="1"/>
  <c r="P114" i="2" s="1"/>
  <c r="O102" i="2"/>
  <c r="P102" i="2" s="1" a="1"/>
  <c r="P102" i="2" s="1"/>
  <c r="O90" i="2"/>
  <c r="P90" i="2" s="1" a="1"/>
  <c r="P90" i="2" s="1"/>
  <c r="O78" i="2"/>
  <c r="P78" i="2" s="1" a="1"/>
  <c r="P78" i="2" s="1"/>
  <c r="O66" i="2"/>
  <c r="P66" i="2" s="1" a="1"/>
  <c r="P66" i="2" s="1"/>
  <c r="O54" i="2"/>
  <c r="P54" i="2" s="1" a="1"/>
  <c r="P54" i="2" s="1"/>
  <c r="O42" i="2"/>
  <c r="P42" i="2" s="1" a="1"/>
  <c r="P42" i="2" s="1"/>
  <c r="O30" i="2"/>
  <c r="P30" i="2" s="1" a="1"/>
  <c r="P30" i="2" s="1"/>
  <c r="O18" i="2"/>
  <c r="P18" i="2" s="1" a="1"/>
  <c r="P18" i="2" s="1"/>
  <c r="O6" i="2"/>
  <c r="P6" i="2" s="1" a="1"/>
  <c r="P6" i="2" s="1"/>
  <c r="O293" i="2"/>
  <c r="P293" i="2" s="1" a="1"/>
  <c r="P293" i="2" s="1"/>
  <c r="O281" i="2"/>
  <c r="P281" i="2" s="1" a="1"/>
  <c r="P281" i="2" s="1"/>
  <c r="O269" i="2"/>
  <c r="P269" i="2" s="1" a="1"/>
  <c r="P269" i="2" s="1"/>
  <c r="O257" i="2"/>
  <c r="P257" i="2" s="1" a="1"/>
  <c r="P257" i="2" s="1"/>
  <c r="O245" i="2"/>
  <c r="P245" i="2" s="1" a="1"/>
  <c r="P245" i="2" s="1"/>
  <c r="O233" i="2"/>
  <c r="P233" i="2" s="1" a="1"/>
  <c r="P233" i="2" s="1"/>
  <c r="O221" i="2"/>
  <c r="P221" i="2" s="1" a="1"/>
  <c r="P221" i="2" s="1"/>
  <c r="O209" i="2"/>
  <c r="P209" i="2" s="1" a="1"/>
  <c r="P209" i="2" s="1"/>
  <c r="O197" i="2"/>
  <c r="P197" i="2" s="1" a="1"/>
  <c r="P197" i="2" s="1"/>
  <c r="O185" i="2"/>
  <c r="P185" i="2" s="1" a="1"/>
  <c r="P185" i="2" s="1"/>
  <c r="O173" i="2"/>
  <c r="P173" i="2" s="1" a="1"/>
  <c r="P173" i="2" s="1"/>
  <c r="O161" i="2"/>
  <c r="P161" i="2" s="1" a="1"/>
  <c r="P161" i="2" s="1"/>
  <c r="O149" i="2"/>
  <c r="P149" i="2" s="1" a="1"/>
  <c r="P149" i="2" s="1"/>
  <c r="O137" i="2"/>
  <c r="P137" i="2" s="1" a="1"/>
  <c r="P137" i="2" s="1"/>
  <c r="O125" i="2"/>
  <c r="P125" i="2" s="1" a="1"/>
  <c r="P125" i="2" s="1"/>
  <c r="O113" i="2"/>
  <c r="P113" i="2" s="1" a="1"/>
  <c r="P113" i="2" s="1"/>
  <c r="O101" i="2"/>
  <c r="P101" i="2" s="1" a="1"/>
  <c r="P101" i="2" s="1"/>
  <c r="O89" i="2"/>
  <c r="P89" i="2" s="1" a="1"/>
  <c r="P89" i="2" s="1"/>
  <c r="O77" i="2"/>
  <c r="P77" i="2" s="1" a="1"/>
  <c r="P77" i="2" s="1"/>
  <c r="O65" i="2"/>
  <c r="P65" i="2" s="1" a="1"/>
  <c r="P65" i="2" s="1"/>
  <c r="O53" i="2"/>
  <c r="P53" i="2" s="1" a="1"/>
  <c r="P53" i="2" s="1"/>
  <c r="O41" i="2"/>
  <c r="P41" i="2" s="1" a="1"/>
  <c r="P41" i="2" s="1"/>
  <c r="O29" i="2"/>
  <c r="P29" i="2" s="1" a="1"/>
  <c r="P29" i="2" s="1"/>
  <c r="O17" i="2"/>
  <c r="P17" i="2" s="1" a="1"/>
  <c r="P17" i="2" s="1"/>
  <c r="O5" i="2"/>
  <c r="P5" i="2" s="1" a="1"/>
  <c r="P5" i="2" s="1"/>
  <c r="O299" i="2"/>
  <c r="P299" i="2" s="1" a="1"/>
  <c r="P299" i="2" s="1"/>
  <c r="O239" i="2"/>
  <c r="P239" i="2" s="1" a="1"/>
  <c r="P239" i="2" s="1"/>
  <c r="O191" i="2"/>
  <c r="P191" i="2" s="1" a="1"/>
  <c r="P191" i="2" s="1"/>
  <c r="O143" i="2"/>
  <c r="P143" i="2" s="1" a="1"/>
  <c r="P143" i="2" s="1"/>
  <c r="O107" i="2"/>
  <c r="P107" i="2" s="1" a="1"/>
  <c r="P107" i="2" s="1"/>
  <c r="O71" i="2"/>
  <c r="P71" i="2" s="1" a="1"/>
  <c r="P71" i="2" s="1"/>
  <c r="O47" i="2"/>
  <c r="P47" i="2" s="1" a="1"/>
  <c r="P47" i="2" s="1"/>
  <c r="O190" i="2"/>
  <c r="P190" i="2" s="1" a="1"/>
  <c r="P190" i="2" s="1"/>
  <c r="O292" i="2"/>
  <c r="P292" i="2" s="1" a="1"/>
  <c r="P292" i="2" s="1"/>
  <c r="O280" i="2"/>
  <c r="P280" i="2" s="1" a="1"/>
  <c r="P280" i="2" s="1"/>
  <c r="O268" i="2"/>
  <c r="P268" i="2" s="1" a="1"/>
  <c r="P268" i="2" s="1"/>
  <c r="O256" i="2"/>
  <c r="P256" i="2" s="1" a="1"/>
  <c r="P256" i="2" s="1"/>
  <c r="O244" i="2"/>
  <c r="P244" i="2" s="1" a="1"/>
  <c r="P244" i="2" s="1"/>
  <c r="O232" i="2"/>
  <c r="P232" i="2" s="1" a="1"/>
  <c r="P232" i="2" s="1"/>
  <c r="O220" i="2"/>
  <c r="P220" i="2" s="1" a="1"/>
  <c r="P220" i="2" s="1"/>
  <c r="O208" i="2"/>
  <c r="P208" i="2" s="1" a="1"/>
  <c r="P208" i="2" s="1"/>
  <c r="O196" i="2"/>
  <c r="P196" i="2" s="1" a="1"/>
  <c r="P196" i="2" s="1"/>
  <c r="O184" i="2"/>
  <c r="P184" i="2" s="1" a="1"/>
  <c r="P184" i="2" s="1"/>
  <c r="O172" i="2"/>
  <c r="P172" i="2" s="1" a="1"/>
  <c r="P172" i="2" s="1"/>
  <c r="O160" i="2"/>
  <c r="P160" i="2" s="1" a="1"/>
  <c r="P160" i="2" s="1"/>
  <c r="O148" i="2"/>
  <c r="P148" i="2" s="1" a="1"/>
  <c r="P148" i="2" s="1"/>
  <c r="O136" i="2"/>
  <c r="P136" i="2" s="1" a="1"/>
  <c r="P136" i="2" s="1"/>
  <c r="O124" i="2"/>
  <c r="P124" i="2" s="1" a="1"/>
  <c r="P124" i="2" s="1"/>
  <c r="O112" i="2"/>
  <c r="P112" i="2" s="1" a="1"/>
  <c r="P112" i="2" s="1"/>
  <c r="O100" i="2"/>
  <c r="P100" i="2" s="1" a="1"/>
  <c r="P100" i="2" s="1"/>
  <c r="O88" i="2"/>
  <c r="P88" i="2" s="1" a="1"/>
  <c r="P88" i="2" s="1"/>
  <c r="O76" i="2"/>
  <c r="P76" i="2" s="1" a="1"/>
  <c r="P76" i="2" s="1"/>
  <c r="O64" i="2"/>
  <c r="P64" i="2" s="1" a="1"/>
  <c r="P64" i="2" s="1"/>
  <c r="O52" i="2"/>
  <c r="P52" i="2" s="1" a="1"/>
  <c r="P52" i="2" s="1"/>
  <c r="O40" i="2"/>
  <c r="P40" i="2" s="1" a="1"/>
  <c r="P40" i="2" s="1"/>
  <c r="O28" i="2"/>
  <c r="P28" i="2" s="1" a="1"/>
  <c r="P28" i="2" s="1"/>
  <c r="O16" i="2"/>
  <c r="P16" i="2" s="1" a="1"/>
  <c r="P16" i="2" s="1"/>
  <c r="O4" i="2"/>
  <c r="P4" i="2" s="1" a="1"/>
  <c r="P4" i="2" s="1"/>
  <c r="O263" i="2"/>
  <c r="P263" i="2" s="1" a="1"/>
  <c r="P263" i="2" s="1"/>
  <c r="O203" i="2"/>
  <c r="P203" i="2" s="1" a="1"/>
  <c r="P203" i="2" s="1"/>
  <c r="O155" i="2"/>
  <c r="P155" i="2" s="1" a="1"/>
  <c r="P155" i="2" s="1"/>
  <c r="O178" i="2"/>
  <c r="P178" i="2" s="1" a="1"/>
  <c r="P178" i="2" s="1"/>
  <c r="O291" i="2"/>
  <c r="P291" i="2" s="1" a="1"/>
  <c r="P291" i="2" s="1"/>
  <c r="O279" i="2"/>
  <c r="P279" i="2" s="1" a="1"/>
  <c r="P279" i="2" s="1"/>
  <c r="O267" i="2"/>
  <c r="P267" i="2" s="1" a="1"/>
  <c r="P267" i="2" s="1"/>
  <c r="O255" i="2"/>
  <c r="P255" i="2" s="1" a="1"/>
  <c r="P255" i="2" s="1"/>
  <c r="O243" i="2"/>
  <c r="P243" i="2" s="1" a="1"/>
  <c r="P243" i="2" s="1"/>
  <c r="O231" i="2"/>
  <c r="P231" i="2" s="1" a="1"/>
  <c r="P231" i="2" s="1"/>
  <c r="O219" i="2"/>
  <c r="P219" i="2" s="1" a="1"/>
  <c r="P219" i="2" s="1"/>
  <c r="O207" i="2"/>
  <c r="P207" i="2" s="1" a="1"/>
  <c r="P207" i="2" s="1"/>
  <c r="O195" i="2"/>
  <c r="P195" i="2" s="1" a="1"/>
  <c r="P195" i="2" s="1"/>
  <c r="O183" i="2"/>
  <c r="P183" i="2" s="1" a="1"/>
  <c r="P183" i="2" s="1"/>
  <c r="O171" i="2"/>
  <c r="P171" i="2" s="1" a="1"/>
  <c r="P171" i="2" s="1"/>
  <c r="O159" i="2"/>
  <c r="P159" i="2" s="1" a="1"/>
  <c r="P159" i="2" s="1"/>
  <c r="O147" i="2"/>
  <c r="P147" i="2" s="1" a="1"/>
  <c r="P147" i="2" s="1"/>
  <c r="O135" i="2"/>
  <c r="P135" i="2" s="1" a="1"/>
  <c r="P135" i="2" s="1"/>
  <c r="O123" i="2"/>
  <c r="P123" i="2" s="1" a="1"/>
  <c r="P123" i="2" s="1"/>
  <c r="O111" i="2"/>
  <c r="P111" i="2" s="1" a="1"/>
  <c r="P111" i="2" s="1"/>
  <c r="O99" i="2"/>
  <c r="P99" i="2" s="1" a="1"/>
  <c r="P99" i="2" s="1"/>
  <c r="O87" i="2"/>
  <c r="P87" i="2" s="1" a="1"/>
  <c r="P87" i="2" s="1"/>
  <c r="O75" i="2"/>
  <c r="P75" i="2" s="1" a="1"/>
  <c r="P75" i="2" s="1"/>
  <c r="O63" i="2"/>
  <c r="P63" i="2" s="1" a="1"/>
  <c r="P63" i="2" s="1"/>
  <c r="O51" i="2"/>
  <c r="P51" i="2" s="1" a="1"/>
  <c r="P51" i="2" s="1"/>
  <c r="O39" i="2"/>
  <c r="P39" i="2" s="1" a="1"/>
  <c r="P39" i="2" s="1"/>
  <c r="O27" i="2"/>
  <c r="P27" i="2" s="1" a="1"/>
  <c r="P27" i="2" s="1"/>
  <c r="O15" i="2"/>
  <c r="P15" i="2" s="1" a="1"/>
  <c r="P15" i="2" s="1"/>
  <c r="O3" i="2"/>
  <c r="P3" i="2" s="1" a="1"/>
  <c r="P3" i="2" s="1"/>
  <c r="O275" i="2"/>
  <c r="P275" i="2" s="1" a="1"/>
  <c r="P275" i="2" s="1"/>
  <c r="O215" i="2"/>
  <c r="P215" i="2" s="1" a="1"/>
  <c r="P215" i="2" s="1"/>
  <c r="O167" i="2"/>
  <c r="P167" i="2" s="1" a="1"/>
  <c r="P167" i="2" s="1"/>
  <c r="O119" i="2"/>
  <c r="P119" i="2" s="1" a="1"/>
  <c r="P119" i="2" s="1"/>
  <c r="O83" i="2"/>
  <c r="P83" i="2" s="1" a="1"/>
  <c r="P83" i="2" s="1"/>
  <c r="O35" i="2"/>
  <c r="P35" i="2" s="1" a="1"/>
  <c r="P35" i="2" s="1"/>
  <c r="O142" i="2"/>
  <c r="P142" i="2" s="1" a="1"/>
  <c r="P142" i="2" s="1"/>
  <c r="O290" i="2"/>
  <c r="P290" i="2" s="1" a="1"/>
  <c r="P290" i="2" s="1"/>
  <c r="O278" i="2"/>
  <c r="P278" i="2" s="1" a="1"/>
  <c r="P278" i="2" s="1"/>
  <c r="O266" i="2"/>
  <c r="P266" i="2" s="1" a="1"/>
  <c r="P266" i="2" s="1"/>
  <c r="O254" i="2"/>
  <c r="P254" i="2" s="1" a="1"/>
  <c r="P254" i="2" s="1"/>
  <c r="O242" i="2"/>
  <c r="P242" i="2" s="1" a="1"/>
  <c r="P242" i="2" s="1"/>
  <c r="O230" i="2"/>
  <c r="P230" i="2" s="1" a="1"/>
  <c r="P230" i="2" s="1"/>
  <c r="O218" i="2"/>
  <c r="P218" i="2" s="1" a="1"/>
  <c r="P218" i="2" s="1"/>
  <c r="O206" i="2"/>
  <c r="P206" i="2" s="1" a="1"/>
  <c r="P206" i="2" s="1"/>
  <c r="O194" i="2"/>
  <c r="P194" i="2" s="1" a="1"/>
  <c r="P194" i="2" s="1"/>
  <c r="O182" i="2"/>
  <c r="P182" i="2" s="1" a="1"/>
  <c r="P182" i="2" s="1"/>
  <c r="O170" i="2"/>
  <c r="P170" i="2" s="1" a="1"/>
  <c r="P170" i="2" s="1"/>
  <c r="O158" i="2"/>
  <c r="P158" i="2" s="1" a="1"/>
  <c r="P158" i="2" s="1"/>
  <c r="O146" i="2"/>
  <c r="P146" i="2" s="1" a="1"/>
  <c r="P146" i="2" s="1"/>
  <c r="O134" i="2"/>
  <c r="P134" i="2" s="1" a="1"/>
  <c r="P134" i="2" s="1"/>
  <c r="O122" i="2"/>
  <c r="P122" i="2" s="1" a="1"/>
  <c r="P122" i="2" s="1"/>
  <c r="O110" i="2"/>
  <c r="P110" i="2" s="1" a="1"/>
  <c r="P110" i="2" s="1"/>
  <c r="O98" i="2"/>
  <c r="P98" i="2" s="1" a="1"/>
  <c r="P98" i="2" s="1"/>
  <c r="O86" i="2"/>
  <c r="P86" i="2" s="1" a="1"/>
  <c r="P86" i="2" s="1"/>
  <c r="O74" i="2"/>
  <c r="P74" i="2" s="1" a="1"/>
  <c r="P74" i="2" s="1"/>
  <c r="O62" i="2"/>
  <c r="P62" i="2" s="1" a="1"/>
  <c r="P62" i="2" s="1"/>
  <c r="O50" i="2"/>
  <c r="P50" i="2" s="1" a="1"/>
  <c r="P50" i="2" s="1"/>
  <c r="O38" i="2"/>
  <c r="P38" i="2" s="1" a="1"/>
  <c r="P38" i="2" s="1"/>
  <c r="O26" i="2"/>
  <c r="P26" i="2" s="1" a="1"/>
  <c r="P26" i="2" s="1"/>
  <c r="O14" i="2"/>
  <c r="P14" i="2" s="1" a="1"/>
  <c r="P14" i="2" s="1"/>
  <c r="O2" i="2"/>
  <c r="P2" i="2" s="1" a="1"/>
  <c r="P2" i="2" s="1"/>
  <c r="O287" i="2"/>
  <c r="P287" i="2" s="1" a="1"/>
  <c r="P287" i="2" s="1"/>
  <c r="O227" i="2"/>
  <c r="P227" i="2" s="1" a="1"/>
  <c r="P227" i="2" s="1"/>
  <c r="O179" i="2"/>
  <c r="P179" i="2" s="1" a="1"/>
  <c r="P179" i="2" s="1"/>
  <c r="O131" i="2"/>
  <c r="P131" i="2" s="1" a="1"/>
  <c r="P131" i="2" s="1"/>
  <c r="O95" i="2"/>
  <c r="P95" i="2" s="1" a="1"/>
  <c r="P95" i="2" s="1"/>
  <c r="O59" i="2"/>
  <c r="P59" i="2" s="1" a="1"/>
  <c r="P59" i="2" s="1"/>
  <c r="O154" i="2"/>
  <c r="P154" i="2" s="1" a="1"/>
  <c r="P154" i="2" s="1"/>
  <c r="O301" i="2"/>
  <c r="P301" i="2" s="1" a="1"/>
  <c r="P301" i="2" s="1"/>
  <c r="O289" i="2"/>
  <c r="P289" i="2" s="1" a="1"/>
  <c r="P289" i="2" s="1"/>
  <c r="O277" i="2"/>
  <c r="P277" i="2" s="1" a="1"/>
  <c r="P277" i="2" s="1"/>
  <c r="O265" i="2"/>
  <c r="P265" i="2" s="1" a="1"/>
  <c r="P265" i="2" s="1"/>
  <c r="O253" i="2"/>
  <c r="P253" i="2" s="1" a="1"/>
  <c r="P253" i="2" s="1"/>
  <c r="O241" i="2"/>
  <c r="P241" i="2" s="1" a="1"/>
  <c r="P241" i="2" s="1"/>
  <c r="O229" i="2"/>
  <c r="P229" i="2" s="1" a="1"/>
  <c r="P229" i="2" s="1"/>
  <c r="O217" i="2"/>
  <c r="P217" i="2" s="1" a="1"/>
  <c r="P217" i="2" s="1"/>
  <c r="O205" i="2"/>
  <c r="P205" i="2" s="1" a="1"/>
  <c r="P205" i="2" s="1"/>
  <c r="O193" i="2"/>
  <c r="P193" i="2" s="1" a="1"/>
  <c r="P193" i="2" s="1"/>
  <c r="O181" i="2"/>
  <c r="P181" i="2" s="1" a="1"/>
  <c r="P181" i="2" s="1"/>
  <c r="O169" i="2"/>
  <c r="P169" i="2" s="1" a="1"/>
  <c r="P169" i="2" s="1"/>
  <c r="O157" i="2"/>
  <c r="P157" i="2" s="1" a="1"/>
  <c r="P157" i="2" s="1"/>
  <c r="O145" i="2"/>
  <c r="P145" i="2" s="1" a="1"/>
  <c r="P145" i="2" s="1"/>
  <c r="O133" i="2"/>
  <c r="P133" i="2" s="1" a="1"/>
  <c r="P133" i="2" s="1"/>
  <c r="O121" i="2"/>
  <c r="P121" i="2" s="1" a="1"/>
  <c r="P121" i="2" s="1"/>
  <c r="O109" i="2"/>
  <c r="P109" i="2" s="1" a="1"/>
  <c r="P109" i="2" s="1"/>
  <c r="O97" i="2"/>
  <c r="P97" i="2" s="1" a="1"/>
  <c r="P97" i="2" s="1"/>
  <c r="O85" i="2"/>
  <c r="P85" i="2" s="1" a="1"/>
  <c r="P85" i="2" s="1"/>
  <c r="O73" i="2"/>
  <c r="P73" i="2" s="1" a="1"/>
  <c r="P73" i="2" s="1"/>
  <c r="O61" i="2"/>
  <c r="P61" i="2" s="1" a="1"/>
  <c r="P61" i="2" s="1"/>
  <c r="O49" i="2"/>
  <c r="P49" i="2" s="1" a="1"/>
  <c r="P49" i="2" s="1"/>
  <c r="O37" i="2"/>
  <c r="P37" i="2" s="1" a="1"/>
  <c r="P37" i="2" s="1"/>
  <c r="O25" i="2"/>
  <c r="P25" i="2" s="1" a="1"/>
  <c r="P25" i="2" s="1"/>
  <c r="O13" i="2"/>
  <c r="P13" i="2" s="1" a="1"/>
  <c r="P13" i="2" s="1"/>
  <c r="O300" i="2"/>
  <c r="P300" i="2" s="1" a="1"/>
  <c r="P300" i="2" s="1"/>
  <c r="O288" i="2"/>
  <c r="P288" i="2" s="1" a="1"/>
  <c r="P288" i="2" s="1"/>
  <c r="O276" i="2"/>
  <c r="P276" i="2" s="1" a="1"/>
  <c r="P276" i="2" s="1"/>
  <c r="O264" i="2"/>
  <c r="P264" i="2" s="1" a="1"/>
  <c r="P264" i="2" s="1"/>
  <c r="O252" i="2"/>
  <c r="P252" i="2" s="1" a="1"/>
  <c r="P252" i="2" s="1"/>
  <c r="O240" i="2"/>
  <c r="P240" i="2" s="1" a="1"/>
  <c r="P240" i="2" s="1"/>
  <c r="O228" i="2"/>
  <c r="P228" i="2" s="1" a="1"/>
  <c r="P228" i="2" s="1"/>
  <c r="O216" i="2"/>
  <c r="P216" i="2" s="1" a="1"/>
  <c r="P216" i="2" s="1"/>
  <c r="O204" i="2"/>
  <c r="P204" i="2" s="1" a="1"/>
  <c r="P204" i="2" s="1"/>
  <c r="O192" i="2"/>
  <c r="P192" i="2" s="1" a="1"/>
  <c r="P192" i="2" s="1"/>
  <c r="O180" i="2"/>
  <c r="P180" i="2" s="1" a="1"/>
  <c r="P180" i="2" s="1"/>
  <c r="O168" i="2"/>
  <c r="P168" i="2" s="1" a="1"/>
  <c r="P168" i="2" s="1"/>
  <c r="O156" i="2"/>
  <c r="P156" i="2" s="1" a="1"/>
  <c r="P156" i="2" s="1"/>
  <c r="O144" i="2"/>
  <c r="P144" i="2" s="1" a="1"/>
  <c r="P144" i="2" s="1"/>
  <c r="O132" i="2"/>
  <c r="P132" i="2" s="1" a="1"/>
  <c r="P132" i="2" s="1"/>
  <c r="O120" i="2"/>
  <c r="P120" i="2" s="1" a="1"/>
  <c r="P120" i="2" s="1"/>
  <c r="O108" i="2"/>
  <c r="P108" i="2" s="1" a="1"/>
  <c r="P108" i="2" s="1"/>
  <c r="O96" i="2"/>
  <c r="P96" i="2" s="1" a="1"/>
  <c r="P96" i="2" s="1"/>
  <c r="O84" i="2"/>
  <c r="P84" i="2" s="1" a="1"/>
  <c r="P84" i="2" s="1"/>
  <c r="O72" i="2"/>
  <c r="P72" i="2" s="1" a="1"/>
  <c r="P72" i="2" s="1"/>
  <c r="O60" i="2"/>
  <c r="P60" i="2" s="1" a="1"/>
  <c r="P60" i="2" s="1"/>
  <c r="O48" i="2"/>
  <c r="P48" i="2" s="1" a="1"/>
  <c r="P48" i="2" s="1"/>
  <c r="O36" i="2"/>
  <c r="P36" i="2" s="1" a="1"/>
  <c r="P36" i="2" s="1"/>
  <c r="O24" i="2"/>
  <c r="P24" i="2" s="1" a="1"/>
  <c r="P24" i="2" s="1"/>
  <c r="O12" i="2"/>
  <c r="P12" i="2" s="1" a="1"/>
  <c r="P12" i="2" s="1"/>
  <c r="Q96" i="2" l="1" a="1"/>
  <c r="Q96" i="2" s="1"/>
  <c r="B96" i="3"/>
  <c r="C96" i="3" s="1"/>
  <c r="Q155" i="2" a="1"/>
  <c r="Q155" i="2" s="1"/>
  <c r="B155" i="3"/>
  <c r="C155" i="3" s="1"/>
  <c r="Q249" i="2" a="1"/>
  <c r="Q249" i="2" s="1"/>
  <c r="B249" i="3"/>
  <c r="C249" i="3" s="1"/>
  <c r="Q183" i="2" a="1"/>
  <c r="Q183" i="2" s="1"/>
  <c r="B183" i="3"/>
  <c r="C183" i="3" s="1"/>
  <c r="Q128" i="2" a="1"/>
  <c r="Q128" i="2" s="1"/>
  <c r="B128" i="3"/>
  <c r="C128" i="3" s="1"/>
  <c r="Q209" i="2" a="1"/>
  <c r="Q209" i="2" s="1"/>
  <c r="B209" i="3"/>
  <c r="C209" i="3" s="1"/>
  <c r="Q229" i="2" a="1"/>
  <c r="Q229" i="2" s="1"/>
  <c r="B229" i="3"/>
  <c r="C229" i="3" s="1"/>
  <c r="Q5" i="2" a="1"/>
  <c r="Q5" i="2" s="1"/>
  <c r="B5" i="3"/>
  <c r="C5" i="3" s="1"/>
  <c r="Q116" i="2" a="1"/>
  <c r="Q116" i="2" s="1"/>
  <c r="B116" i="3"/>
  <c r="C116" i="3" s="1"/>
  <c r="Q97" i="2" a="1"/>
  <c r="Q97" i="2" s="1"/>
  <c r="B97" i="3"/>
  <c r="C97" i="3" s="1"/>
  <c r="Q124" i="2" a="1"/>
  <c r="Q124" i="2" s="1"/>
  <c r="B124" i="3"/>
  <c r="C124" i="3" s="1"/>
  <c r="Q117" i="2" a="1"/>
  <c r="Q117" i="2" s="1"/>
  <c r="B117" i="3"/>
  <c r="C117" i="3" s="1"/>
  <c r="Q145" i="2" a="1"/>
  <c r="Q145" i="2" s="1"/>
  <c r="B145" i="3"/>
  <c r="C145" i="3" s="1"/>
  <c r="Q87" i="2" a="1"/>
  <c r="Q87" i="2" s="1"/>
  <c r="B87" i="3"/>
  <c r="C87" i="3" s="1"/>
  <c r="Q65" i="2" a="1"/>
  <c r="Q65" i="2" s="1"/>
  <c r="B65" i="3"/>
  <c r="C65" i="3" s="1"/>
  <c r="Q32" i="2" a="1"/>
  <c r="Q32" i="2" s="1"/>
  <c r="B32" i="3"/>
  <c r="C32" i="3" s="1"/>
  <c r="Q21" i="2" a="1"/>
  <c r="Q21" i="2" s="1"/>
  <c r="B21" i="3"/>
  <c r="C21" i="3" s="1"/>
  <c r="Q301" i="2" a="1"/>
  <c r="Q301" i="2" s="1"/>
  <c r="B301" i="3"/>
  <c r="C301" i="3" s="1"/>
  <c r="Q243" i="2" a="1"/>
  <c r="Q243" i="2" s="1"/>
  <c r="B243" i="3"/>
  <c r="C243" i="3" s="1"/>
  <c r="Q77" i="2" a="1"/>
  <c r="Q77" i="2" s="1"/>
  <c r="B77" i="3"/>
  <c r="C77" i="3" s="1"/>
  <c r="Q210" i="2" a="1"/>
  <c r="Q210" i="2" s="1"/>
  <c r="B210" i="3"/>
  <c r="C210" i="3" s="1"/>
  <c r="Q44" i="2" a="1"/>
  <c r="Q44" i="2" s="1"/>
  <c r="B44" i="3"/>
  <c r="C44" i="3" s="1"/>
  <c r="Q214" i="2" a="1"/>
  <c r="Q214" i="2" s="1"/>
  <c r="B214" i="3"/>
  <c r="C214" i="3" s="1"/>
  <c r="Q36" i="2" a="1"/>
  <c r="Q36" i="2" s="1"/>
  <c r="B36" i="3"/>
  <c r="C36" i="3" s="1"/>
  <c r="Q180" i="2" a="1"/>
  <c r="Q180" i="2" s="1"/>
  <c r="B180" i="3"/>
  <c r="C180" i="3" s="1"/>
  <c r="Q25" i="2" a="1"/>
  <c r="Q25" i="2" s="1"/>
  <c r="B25" i="3"/>
  <c r="C25" i="3" s="1"/>
  <c r="Q169" i="2" a="1"/>
  <c r="Q169" i="2" s="1"/>
  <c r="B169" i="3"/>
  <c r="C169" i="3" s="1"/>
  <c r="Q154" i="2" a="1"/>
  <c r="Q154" i="2" s="1"/>
  <c r="B154" i="3"/>
  <c r="C154" i="3" s="1"/>
  <c r="Q62" i="2" a="1"/>
  <c r="Q62" i="2" s="1"/>
  <c r="B62" i="3"/>
  <c r="C62" i="3" s="1"/>
  <c r="Q206" i="2" a="1"/>
  <c r="Q206" i="2" s="1"/>
  <c r="B206" i="3"/>
  <c r="C206" i="3" s="1"/>
  <c r="Q167" i="2" a="1"/>
  <c r="Q167" i="2" s="1"/>
  <c r="B167" i="3"/>
  <c r="C167" i="3" s="1"/>
  <c r="Q111" i="2" a="1"/>
  <c r="Q111" i="2" s="1"/>
  <c r="B111" i="3"/>
  <c r="C111" i="3" s="1"/>
  <c r="Q255" i="2" a="1"/>
  <c r="Q255" i="2" s="1"/>
  <c r="B255" i="3"/>
  <c r="C255" i="3" s="1"/>
  <c r="Q52" i="2" a="1"/>
  <c r="Q52" i="2" s="1"/>
  <c r="B52" i="3"/>
  <c r="C52" i="3" s="1"/>
  <c r="Q196" i="2" a="1"/>
  <c r="Q196" i="2" s="1"/>
  <c r="B196" i="3"/>
  <c r="C196" i="3" s="1"/>
  <c r="Q107" i="2" a="1"/>
  <c r="Q107" i="2" s="1"/>
  <c r="B107" i="3"/>
  <c r="C107" i="3" s="1"/>
  <c r="Q89" i="2" a="1"/>
  <c r="Q89" i="2" s="1"/>
  <c r="B89" i="3"/>
  <c r="C89" i="3" s="1"/>
  <c r="Q233" i="2" a="1"/>
  <c r="Q233" i="2" s="1"/>
  <c r="B233" i="3"/>
  <c r="C233" i="3" s="1"/>
  <c r="Q78" i="2" a="1"/>
  <c r="Q78" i="2" s="1"/>
  <c r="B78" i="3"/>
  <c r="C78" i="3" s="1"/>
  <c r="Q222" i="2" a="1"/>
  <c r="Q222" i="2" s="1"/>
  <c r="B222" i="3"/>
  <c r="C222" i="3" s="1"/>
  <c r="Q67" i="2" a="1"/>
  <c r="Q67" i="2" s="1"/>
  <c r="B67" i="3"/>
  <c r="C67" i="3" s="1"/>
  <c r="Q211" i="2" a="1"/>
  <c r="Q211" i="2" s="1"/>
  <c r="B211" i="3"/>
  <c r="C211" i="3" s="1"/>
  <c r="Q56" i="2" a="1"/>
  <c r="Q56" i="2" s="1"/>
  <c r="B56" i="3"/>
  <c r="C56" i="3" s="1"/>
  <c r="Q200" i="2" a="1"/>
  <c r="Q200" i="2" s="1"/>
  <c r="B200" i="3"/>
  <c r="C200" i="3" s="1"/>
  <c r="Q45" i="2" a="1"/>
  <c r="Q45" i="2" s="1"/>
  <c r="B45" i="3"/>
  <c r="C45" i="3" s="1"/>
  <c r="Q189" i="2" a="1"/>
  <c r="Q189" i="2" s="1"/>
  <c r="B189" i="3"/>
  <c r="C189" i="3" s="1"/>
  <c r="Q34" i="2" a="1"/>
  <c r="Q34" i="2" s="1"/>
  <c r="B34" i="3"/>
  <c r="C34" i="3" s="1"/>
  <c r="Q226" i="2" a="1"/>
  <c r="Q226" i="2" s="1"/>
  <c r="B226" i="3"/>
  <c r="C226" i="3" s="1"/>
  <c r="Q85" i="2" a="1"/>
  <c r="Q85" i="2" s="1"/>
  <c r="B85" i="3"/>
  <c r="C85" i="3" s="1"/>
  <c r="Q171" i="2" a="1"/>
  <c r="Q171" i="2" s="1"/>
  <c r="B171" i="3"/>
  <c r="C171" i="3" s="1"/>
  <c r="Q127" i="2" a="1"/>
  <c r="Q127" i="2" s="1"/>
  <c r="B127" i="3"/>
  <c r="C127" i="3" s="1"/>
  <c r="Q134" i="2" a="1"/>
  <c r="Q134" i="2" s="1"/>
  <c r="B134" i="3"/>
  <c r="C134" i="3" s="1"/>
  <c r="Q6" i="2" a="1"/>
  <c r="Q6" i="2" s="1"/>
  <c r="B6" i="3"/>
  <c r="C6" i="3" s="1"/>
  <c r="Q272" i="2" a="1"/>
  <c r="Q272" i="2" s="1"/>
  <c r="B272" i="3"/>
  <c r="C272" i="3" s="1"/>
  <c r="Q300" i="2" a="1"/>
  <c r="Q300" i="2" s="1"/>
  <c r="B300" i="3"/>
  <c r="C300" i="3" s="1"/>
  <c r="Q83" i="2" a="1"/>
  <c r="Q83" i="2" s="1"/>
  <c r="B83" i="3"/>
  <c r="C83" i="3" s="1"/>
  <c r="Q47" i="2" a="1"/>
  <c r="Q47" i="2" s="1"/>
  <c r="B47" i="3"/>
  <c r="C47" i="3" s="1"/>
  <c r="Q187" i="2" a="1"/>
  <c r="Q187" i="2" s="1"/>
  <c r="B187" i="3"/>
  <c r="C187" i="3" s="1"/>
  <c r="Q10" i="2" a="1"/>
  <c r="Q10" i="2" s="1"/>
  <c r="B10" i="3"/>
  <c r="C10" i="3" s="1"/>
  <c r="Q13" i="2" a="1"/>
  <c r="Q13" i="2" s="1"/>
  <c r="B13" i="3"/>
  <c r="C13" i="3" s="1"/>
  <c r="Q194" i="2" a="1"/>
  <c r="Q194" i="2" s="1"/>
  <c r="B194" i="3"/>
  <c r="C194" i="3" s="1"/>
  <c r="Q184" i="2" a="1"/>
  <c r="Q184" i="2" s="1"/>
  <c r="B184" i="3"/>
  <c r="C184" i="3" s="1"/>
  <c r="Q221" i="2" a="1"/>
  <c r="Q221" i="2" s="1"/>
  <c r="B221" i="3"/>
  <c r="C221" i="3" s="1"/>
  <c r="Q55" i="2" a="1"/>
  <c r="Q55" i="2" s="1"/>
  <c r="B55" i="3"/>
  <c r="C55" i="3" s="1"/>
  <c r="Q22" i="2" a="1"/>
  <c r="Q22" i="2" s="1"/>
  <c r="B22" i="3"/>
  <c r="C22" i="3" s="1"/>
  <c r="Q48" i="2" a="1"/>
  <c r="Q48" i="2" s="1"/>
  <c r="B48" i="3"/>
  <c r="C48" i="3" s="1"/>
  <c r="Q192" i="2" a="1"/>
  <c r="Q192" i="2" s="1"/>
  <c r="B192" i="3"/>
  <c r="C192" i="3" s="1"/>
  <c r="Q37" i="2" a="1"/>
  <c r="Q37" i="2" s="1"/>
  <c r="B37" i="3"/>
  <c r="C37" i="3" s="1"/>
  <c r="Q181" i="2" a="1"/>
  <c r="Q181" i="2" s="1"/>
  <c r="B181" i="3"/>
  <c r="C181" i="3" s="1"/>
  <c r="Q59" i="2" a="1"/>
  <c r="Q59" i="2" s="1"/>
  <c r="B59" i="3"/>
  <c r="C59" i="3" s="1"/>
  <c r="Q74" i="2" a="1"/>
  <c r="Q74" i="2" s="1"/>
  <c r="B74" i="3"/>
  <c r="C74" i="3" s="1"/>
  <c r="Q218" i="2" a="1"/>
  <c r="Q218" i="2" s="1"/>
  <c r="B218" i="3"/>
  <c r="C218" i="3" s="1"/>
  <c r="Q215" i="2" a="1"/>
  <c r="Q215" i="2" s="1"/>
  <c r="B215" i="3"/>
  <c r="C215" i="3" s="1"/>
  <c r="Q123" i="2" a="1"/>
  <c r="Q123" i="2" s="1"/>
  <c r="B123" i="3"/>
  <c r="C123" i="3" s="1"/>
  <c r="Q267" i="2" a="1"/>
  <c r="Q267" i="2" s="1"/>
  <c r="B267" i="3"/>
  <c r="C267" i="3" s="1"/>
  <c r="Q64" i="2" a="1"/>
  <c r="Q64" i="2" s="1"/>
  <c r="B64" i="3"/>
  <c r="C64" i="3" s="1"/>
  <c r="Q208" i="2" a="1"/>
  <c r="Q208" i="2" s="1"/>
  <c r="B208" i="3"/>
  <c r="C208" i="3" s="1"/>
  <c r="Q143" i="2" a="1"/>
  <c r="Q143" i="2" s="1"/>
  <c r="B143" i="3"/>
  <c r="C143" i="3" s="1"/>
  <c r="Q101" i="2" a="1"/>
  <c r="Q101" i="2" s="1"/>
  <c r="B101" i="3"/>
  <c r="C101" i="3" s="1"/>
  <c r="Q245" i="2" a="1"/>
  <c r="Q245" i="2" s="1"/>
  <c r="B245" i="3"/>
  <c r="C245" i="3" s="1"/>
  <c r="Q90" i="2" a="1"/>
  <c r="Q90" i="2" s="1"/>
  <c r="B90" i="3"/>
  <c r="C90" i="3" s="1"/>
  <c r="Q234" i="2" a="1"/>
  <c r="Q234" i="2" s="1"/>
  <c r="B234" i="3"/>
  <c r="C234" i="3" s="1"/>
  <c r="Q79" i="2" a="1"/>
  <c r="Q79" i="2" s="1"/>
  <c r="B79" i="3"/>
  <c r="C79" i="3" s="1"/>
  <c r="Q223" i="2" a="1"/>
  <c r="Q223" i="2" s="1"/>
  <c r="B223" i="3"/>
  <c r="C223" i="3" s="1"/>
  <c r="Q68" i="2" a="1"/>
  <c r="Q68" i="2" s="1"/>
  <c r="B68" i="3"/>
  <c r="C68" i="3" s="1"/>
  <c r="Q212" i="2" a="1"/>
  <c r="Q212" i="2" s="1"/>
  <c r="B212" i="3"/>
  <c r="C212" i="3" s="1"/>
  <c r="Q57" i="2" a="1"/>
  <c r="Q57" i="2" s="1"/>
  <c r="B57" i="3"/>
  <c r="C57" i="3" s="1"/>
  <c r="Q201" i="2" a="1"/>
  <c r="Q201" i="2" s="1"/>
  <c r="B201" i="3"/>
  <c r="C201" i="3" s="1"/>
  <c r="Q46" i="2" a="1"/>
  <c r="Q46" i="2" s="1"/>
  <c r="B46" i="3"/>
  <c r="C46" i="3" s="1"/>
  <c r="Q238" i="2" a="1"/>
  <c r="Q238" i="2" s="1"/>
  <c r="B238" i="3"/>
  <c r="C238" i="3" s="1"/>
  <c r="Q122" i="2" a="1"/>
  <c r="Q122" i="2" s="1"/>
  <c r="B122" i="3"/>
  <c r="C122" i="3" s="1"/>
  <c r="Q149" i="2" a="1"/>
  <c r="Q149" i="2" s="1"/>
  <c r="B149" i="3"/>
  <c r="C149" i="3" s="1"/>
  <c r="Q271" i="2" a="1"/>
  <c r="Q271" i="2" s="1"/>
  <c r="B271" i="3"/>
  <c r="C271" i="3" s="1"/>
  <c r="Q241" i="2" a="1"/>
  <c r="Q241" i="2" s="1"/>
  <c r="B241" i="3"/>
  <c r="C241" i="3" s="1"/>
  <c r="Q268" i="2" a="1"/>
  <c r="Q268" i="2" s="1"/>
  <c r="B268" i="3"/>
  <c r="C268" i="3" s="1"/>
  <c r="Q261" i="2" a="1"/>
  <c r="Q261" i="2" s="1"/>
  <c r="B261" i="3"/>
  <c r="C261" i="3" s="1"/>
  <c r="Q156" i="2" a="1"/>
  <c r="Q156" i="2" s="1"/>
  <c r="B156" i="3"/>
  <c r="C156" i="3" s="1"/>
  <c r="Q182" i="2" a="1"/>
  <c r="Q182" i="2" s="1"/>
  <c r="B182" i="3"/>
  <c r="C182" i="3" s="1"/>
  <c r="Q172" i="2" a="1"/>
  <c r="Q172" i="2" s="1"/>
  <c r="B172" i="3"/>
  <c r="C172" i="3" s="1"/>
  <c r="Q43" i="2" a="1"/>
  <c r="Q43" i="2" s="1"/>
  <c r="B43" i="3"/>
  <c r="C43" i="3" s="1"/>
  <c r="Q176" i="2" a="1"/>
  <c r="Q176" i="2" s="1"/>
  <c r="B176" i="3"/>
  <c r="C176" i="3" s="1"/>
  <c r="Q157" i="2" a="1"/>
  <c r="Q157" i="2" s="1"/>
  <c r="B157" i="3"/>
  <c r="C157" i="3" s="1"/>
  <c r="Q119" i="2" a="1"/>
  <c r="Q119" i="2" s="1"/>
  <c r="B119" i="3"/>
  <c r="C119" i="3" s="1"/>
  <c r="Q71" i="2" a="1"/>
  <c r="Q71" i="2" s="1"/>
  <c r="B71" i="3"/>
  <c r="C71" i="3" s="1"/>
  <c r="Q66" i="2" a="1"/>
  <c r="Q66" i="2" s="1"/>
  <c r="B66" i="3"/>
  <c r="C66" i="3" s="1"/>
  <c r="Q199" i="2" a="1"/>
  <c r="Q199" i="2" s="1"/>
  <c r="B199" i="3"/>
  <c r="C199" i="3" s="1"/>
  <c r="Q177" i="2" a="1"/>
  <c r="Q177" i="2" s="1"/>
  <c r="B177" i="3"/>
  <c r="C177" i="3" s="1"/>
  <c r="Q60" i="2" a="1"/>
  <c r="Q60" i="2" s="1"/>
  <c r="B60" i="3"/>
  <c r="C60" i="3" s="1"/>
  <c r="Q204" i="2" a="1"/>
  <c r="Q204" i="2" s="1"/>
  <c r="B204" i="3"/>
  <c r="C204" i="3" s="1"/>
  <c r="Q49" i="2" a="1"/>
  <c r="Q49" i="2" s="1"/>
  <c r="B49" i="3"/>
  <c r="C49" i="3" s="1"/>
  <c r="Q193" i="2" a="1"/>
  <c r="Q193" i="2" s="1"/>
  <c r="B193" i="3"/>
  <c r="C193" i="3" s="1"/>
  <c r="Q95" i="2" a="1"/>
  <c r="Q95" i="2" s="1"/>
  <c r="B95" i="3"/>
  <c r="C95" i="3" s="1"/>
  <c r="Q86" i="2" a="1"/>
  <c r="Q86" i="2" s="1"/>
  <c r="B86" i="3"/>
  <c r="C86" i="3" s="1"/>
  <c r="Q230" i="2" a="1"/>
  <c r="Q230" i="2" s="1"/>
  <c r="B230" i="3"/>
  <c r="C230" i="3" s="1"/>
  <c r="Q275" i="2" a="1"/>
  <c r="Q275" i="2" s="1"/>
  <c r="B275" i="3"/>
  <c r="C275" i="3" s="1"/>
  <c r="Q135" i="2" a="1"/>
  <c r="Q135" i="2" s="1"/>
  <c r="B135" i="3"/>
  <c r="C135" i="3" s="1"/>
  <c r="Q279" i="2" a="1"/>
  <c r="Q279" i="2" s="1"/>
  <c r="B279" i="3"/>
  <c r="C279" i="3" s="1"/>
  <c r="Q76" i="2" a="1"/>
  <c r="Q76" i="2" s="1"/>
  <c r="B76" i="3"/>
  <c r="C76" i="3" s="1"/>
  <c r="Q220" i="2" a="1"/>
  <c r="Q220" i="2" s="1"/>
  <c r="B220" i="3"/>
  <c r="C220" i="3" s="1"/>
  <c r="Q191" i="2" a="1"/>
  <c r="Q191" i="2" s="1"/>
  <c r="B191" i="3"/>
  <c r="C191" i="3" s="1"/>
  <c r="Q113" i="2" a="1"/>
  <c r="Q113" i="2" s="1"/>
  <c r="B113" i="3"/>
  <c r="C113" i="3" s="1"/>
  <c r="Q257" i="2" a="1"/>
  <c r="Q257" i="2" s="1"/>
  <c r="B257" i="3"/>
  <c r="C257" i="3" s="1"/>
  <c r="Q102" i="2" a="1"/>
  <c r="Q102" i="2" s="1"/>
  <c r="B102" i="3"/>
  <c r="C102" i="3" s="1"/>
  <c r="Q246" i="2" a="1"/>
  <c r="Q246" i="2" s="1"/>
  <c r="B246" i="3"/>
  <c r="C246" i="3" s="1"/>
  <c r="Q91" i="2" a="1"/>
  <c r="Q91" i="2" s="1"/>
  <c r="B91" i="3"/>
  <c r="C91" i="3" s="1"/>
  <c r="Q235" i="2" a="1"/>
  <c r="Q235" i="2" s="1"/>
  <c r="B235" i="3"/>
  <c r="C235" i="3" s="1"/>
  <c r="Q80" i="2" a="1"/>
  <c r="Q80" i="2" s="1"/>
  <c r="B80" i="3"/>
  <c r="C80" i="3" s="1"/>
  <c r="Q224" i="2" a="1"/>
  <c r="Q224" i="2" s="1"/>
  <c r="B224" i="3"/>
  <c r="C224" i="3" s="1"/>
  <c r="Q69" i="2" a="1"/>
  <c r="Q69" i="2" s="1"/>
  <c r="B69" i="3"/>
  <c r="C69" i="3" s="1"/>
  <c r="Q213" i="2" a="1"/>
  <c r="Q213" i="2" s="1"/>
  <c r="B213" i="3"/>
  <c r="C213" i="3" s="1"/>
  <c r="Q58" i="2" a="1"/>
  <c r="Q58" i="2" s="1"/>
  <c r="B58" i="3"/>
  <c r="C58" i="3" s="1"/>
  <c r="Q250" i="2" a="1"/>
  <c r="Q250" i="2" s="1"/>
  <c r="B250" i="3"/>
  <c r="C250" i="3" s="1"/>
  <c r="Q227" i="2" a="1"/>
  <c r="Q227" i="2" s="1"/>
  <c r="B227" i="3"/>
  <c r="C227" i="3" s="1"/>
  <c r="Q256" i="2" a="1"/>
  <c r="Q256" i="2" s="1"/>
  <c r="B256" i="3"/>
  <c r="C256" i="3" s="1"/>
  <c r="Q94" i="2" a="1"/>
  <c r="Q94" i="2" s="1"/>
  <c r="B94" i="3"/>
  <c r="C94" i="3" s="1"/>
  <c r="Q39" i="2" a="1"/>
  <c r="Q39" i="2" s="1"/>
  <c r="B39" i="3"/>
  <c r="C39" i="3" s="1"/>
  <c r="Q139" i="2" a="1"/>
  <c r="Q139" i="2" s="1"/>
  <c r="B139" i="3"/>
  <c r="C139" i="3" s="1"/>
  <c r="Q120" i="2" a="1"/>
  <c r="Q120" i="2" s="1"/>
  <c r="B120" i="3"/>
  <c r="C120" i="3" s="1"/>
  <c r="Q12" i="2" a="1"/>
  <c r="Q12" i="2" s="1"/>
  <c r="B12" i="3"/>
  <c r="C12" i="3" s="1"/>
  <c r="Q38" i="2" a="1"/>
  <c r="Q38" i="2" s="1"/>
  <c r="B38" i="3"/>
  <c r="C38" i="3" s="1"/>
  <c r="Q28" i="2" a="1"/>
  <c r="Q28" i="2" s="1"/>
  <c r="B28" i="3"/>
  <c r="C28" i="3" s="1"/>
  <c r="Q198" i="2" a="1"/>
  <c r="Q198" i="2" s="1"/>
  <c r="B198" i="3"/>
  <c r="C198" i="3" s="1"/>
  <c r="Q202" i="2" a="1"/>
  <c r="Q202" i="2" s="1"/>
  <c r="B202" i="3"/>
  <c r="C202" i="3" s="1"/>
  <c r="Q24" i="2" a="1"/>
  <c r="Q24" i="2" s="1"/>
  <c r="B24" i="3"/>
  <c r="C24" i="3" s="1"/>
  <c r="Q50" i="2" a="1"/>
  <c r="Q50" i="2" s="1"/>
  <c r="B50" i="3"/>
  <c r="C50" i="3" s="1"/>
  <c r="Q40" i="2" a="1"/>
  <c r="Q40" i="2" s="1"/>
  <c r="B40" i="3"/>
  <c r="C40" i="3" s="1"/>
  <c r="Q33" i="2" a="1"/>
  <c r="Q33" i="2" s="1"/>
  <c r="B33" i="3"/>
  <c r="C33" i="3" s="1"/>
  <c r="Q72" i="2" a="1"/>
  <c r="Q72" i="2" s="1"/>
  <c r="B72" i="3"/>
  <c r="C72" i="3" s="1"/>
  <c r="Q61" i="2" a="1"/>
  <c r="Q61" i="2" s="1"/>
  <c r="B61" i="3"/>
  <c r="C61" i="3" s="1"/>
  <c r="Q205" i="2" a="1"/>
  <c r="Q205" i="2" s="1"/>
  <c r="B205" i="3"/>
  <c r="C205" i="3" s="1"/>
  <c r="Q131" i="2" a="1"/>
  <c r="Q131" i="2" s="1"/>
  <c r="B131" i="3"/>
  <c r="C131" i="3" s="1"/>
  <c r="Q98" i="2" a="1"/>
  <c r="Q98" i="2" s="1"/>
  <c r="B98" i="3"/>
  <c r="C98" i="3" s="1"/>
  <c r="Q242" i="2" a="1"/>
  <c r="Q242" i="2" s="1"/>
  <c r="B242" i="3"/>
  <c r="C242" i="3" s="1"/>
  <c r="Q3" i="2" a="1"/>
  <c r="Q3" i="2" s="1"/>
  <c r="B3" i="3"/>
  <c r="C3" i="3" s="1"/>
  <c r="Q147" i="2" a="1"/>
  <c r="Q147" i="2" s="1"/>
  <c r="B147" i="3"/>
  <c r="C147" i="3" s="1"/>
  <c r="Q291" i="2" a="1"/>
  <c r="Q291" i="2" s="1"/>
  <c r="B291" i="3"/>
  <c r="C291" i="3" s="1"/>
  <c r="Q88" i="2" a="1"/>
  <c r="Q88" i="2" s="1"/>
  <c r="B88" i="3"/>
  <c r="C88" i="3" s="1"/>
  <c r="Q232" i="2" a="1"/>
  <c r="Q232" i="2" s="1"/>
  <c r="B232" i="3"/>
  <c r="C232" i="3" s="1"/>
  <c r="Q239" i="2" a="1"/>
  <c r="Q239" i="2" s="1"/>
  <c r="B239" i="3"/>
  <c r="C239" i="3" s="1"/>
  <c r="Q125" i="2" a="1"/>
  <c r="Q125" i="2" s="1"/>
  <c r="B125" i="3"/>
  <c r="C125" i="3" s="1"/>
  <c r="Q269" i="2" a="1"/>
  <c r="Q269" i="2" s="1"/>
  <c r="B269" i="3"/>
  <c r="C269" i="3" s="1"/>
  <c r="Q114" i="2" a="1"/>
  <c r="Q114" i="2" s="1"/>
  <c r="B114" i="3"/>
  <c r="C114" i="3" s="1"/>
  <c r="Q258" i="2" a="1"/>
  <c r="Q258" i="2" s="1"/>
  <c r="B258" i="3"/>
  <c r="C258" i="3" s="1"/>
  <c r="Q103" i="2" a="1"/>
  <c r="Q103" i="2" s="1"/>
  <c r="B103" i="3"/>
  <c r="C103" i="3" s="1"/>
  <c r="Q247" i="2" a="1"/>
  <c r="Q247" i="2" s="1"/>
  <c r="B247" i="3"/>
  <c r="C247" i="3" s="1"/>
  <c r="Q92" i="2" a="1"/>
  <c r="Q92" i="2" s="1"/>
  <c r="B92" i="3"/>
  <c r="C92" i="3" s="1"/>
  <c r="Q236" i="2" a="1"/>
  <c r="Q236" i="2" s="1"/>
  <c r="B236" i="3"/>
  <c r="C236" i="3" s="1"/>
  <c r="Q81" i="2" a="1"/>
  <c r="Q81" i="2" s="1"/>
  <c r="B81" i="3"/>
  <c r="C81" i="3" s="1"/>
  <c r="Q225" i="2" a="1"/>
  <c r="Q225" i="2" s="1"/>
  <c r="B225" i="3"/>
  <c r="C225" i="3" s="1"/>
  <c r="Q70" i="2" a="1"/>
  <c r="Q70" i="2" s="1"/>
  <c r="B70" i="3"/>
  <c r="C70" i="3" s="1"/>
  <c r="Q262" i="2" a="1"/>
  <c r="Q262" i="2" s="1"/>
  <c r="B262" i="3"/>
  <c r="C262" i="3" s="1"/>
  <c r="Q240" i="2" a="1"/>
  <c r="Q240" i="2" s="1"/>
  <c r="B240" i="3"/>
  <c r="C240" i="3" s="1"/>
  <c r="Q112" i="2" a="1"/>
  <c r="Q112" i="2" s="1"/>
  <c r="B112" i="3"/>
  <c r="C112" i="3" s="1"/>
  <c r="Q105" i="2" a="1"/>
  <c r="Q105" i="2" s="1"/>
  <c r="B105" i="3"/>
  <c r="C105" i="3" s="1"/>
  <c r="Q252" i="2" a="1"/>
  <c r="Q252" i="2" s="1"/>
  <c r="B252" i="3"/>
  <c r="C252" i="3" s="1"/>
  <c r="Q203" i="2" a="1"/>
  <c r="Q203" i="2" s="1"/>
  <c r="B203" i="3"/>
  <c r="C203" i="3" s="1"/>
  <c r="Q283" i="2" a="1"/>
  <c r="Q283" i="2" s="1"/>
  <c r="B283" i="3"/>
  <c r="C283" i="3" s="1"/>
  <c r="Q264" i="2" a="1"/>
  <c r="Q264" i="2" s="1"/>
  <c r="B264" i="3"/>
  <c r="C264" i="3" s="1"/>
  <c r="Q289" i="2" a="1"/>
  <c r="Q289" i="2" s="1"/>
  <c r="B289" i="3"/>
  <c r="C289" i="3" s="1"/>
  <c r="Q231" i="2" a="1"/>
  <c r="Q231" i="2" s="1"/>
  <c r="B231" i="3"/>
  <c r="C231" i="3" s="1"/>
  <c r="Q54" i="2" a="1"/>
  <c r="Q54" i="2" s="1"/>
  <c r="B54" i="3"/>
  <c r="C54" i="3" s="1"/>
  <c r="Q165" i="2" a="1"/>
  <c r="Q165" i="2" s="1"/>
  <c r="B165" i="3"/>
  <c r="C165" i="3" s="1"/>
  <c r="Q168" i="2" a="1"/>
  <c r="Q168" i="2" s="1"/>
  <c r="B168" i="3"/>
  <c r="C168" i="3" s="1"/>
  <c r="Q99" i="2" a="1"/>
  <c r="Q99" i="2" s="1"/>
  <c r="B99" i="3"/>
  <c r="C99" i="3" s="1"/>
  <c r="Q188" i="2" a="1"/>
  <c r="Q188" i="2" s="1"/>
  <c r="B188" i="3"/>
  <c r="C188" i="3" s="1"/>
  <c r="Q216" i="2" a="1"/>
  <c r="Q216" i="2" s="1"/>
  <c r="B216" i="3"/>
  <c r="C216" i="3" s="1"/>
  <c r="Q84" i="2" a="1"/>
  <c r="Q84" i="2" s="1"/>
  <c r="B84" i="3"/>
  <c r="C84" i="3" s="1"/>
  <c r="Q228" i="2" a="1"/>
  <c r="Q228" i="2" s="1"/>
  <c r="B228" i="3"/>
  <c r="C228" i="3" s="1"/>
  <c r="Q73" i="2" a="1"/>
  <c r="Q73" i="2" s="1"/>
  <c r="B73" i="3"/>
  <c r="C73" i="3" s="1"/>
  <c r="Q217" i="2" a="1"/>
  <c r="Q217" i="2" s="1"/>
  <c r="B217" i="3"/>
  <c r="C217" i="3" s="1"/>
  <c r="Q179" i="2" a="1"/>
  <c r="Q179" i="2" s="1"/>
  <c r="B179" i="3"/>
  <c r="C179" i="3" s="1"/>
  <c r="Q110" i="2" a="1"/>
  <c r="Q110" i="2" s="1"/>
  <c r="B110" i="3"/>
  <c r="C110" i="3" s="1"/>
  <c r="Q254" i="2" a="1"/>
  <c r="Q254" i="2" s="1"/>
  <c r="B254" i="3"/>
  <c r="C254" i="3" s="1"/>
  <c r="Q15" i="2" a="1"/>
  <c r="Q15" i="2" s="1"/>
  <c r="B15" i="3"/>
  <c r="C15" i="3" s="1"/>
  <c r="Q159" i="2" a="1"/>
  <c r="Q159" i="2" s="1"/>
  <c r="B159" i="3"/>
  <c r="C159" i="3" s="1"/>
  <c r="Q178" i="2" a="1"/>
  <c r="Q178" i="2" s="1"/>
  <c r="B178" i="3"/>
  <c r="C178" i="3" s="1"/>
  <c r="Q100" i="2" a="1"/>
  <c r="Q100" i="2" s="1"/>
  <c r="B100" i="3"/>
  <c r="C100" i="3" s="1"/>
  <c r="Q244" i="2" a="1"/>
  <c r="Q244" i="2" s="1"/>
  <c r="B244" i="3"/>
  <c r="C244" i="3" s="1"/>
  <c r="Q299" i="2" a="1"/>
  <c r="Q299" i="2" s="1"/>
  <c r="B299" i="3"/>
  <c r="C299" i="3" s="1"/>
  <c r="Q137" i="2" a="1"/>
  <c r="Q137" i="2" s="1"/>
  <c r="B137" i="3"/>
  <c r="C137" i="3" s="1"/>
  <c r="Q281" i="2" a="1"/>
  <c r="Q281" i="2" s="1"/>
  <c r="B281" i="3"/>
  <c r="C281" i="3" s="1"/>
  <c r="Q126" i="2" a="1"/>
  <c r="Q126" i="2" s="1"/>
  <c r="B126" i="3"/>
  <c r="C126" i="3" s="1"/>
  <c r="Q270" i="2" a="1"/>
  <c r="Q270" i="2" s="1"/>
  <c r="B270" i="3"/>
  <c r="C270" i="3" s="1"/>
  <c r="Q115" i="2" a="1"/>
  <c r="Q115" i="2" s="1"/>
  <c r="B115" i="3"/>
  <c r="C115" i="3" s="1"/>
  <c r="Q259" i="2" a="1"/>
  <c r="Q259" i="2" s="1"/>
  <c r="B259" i="3"/>
  <c r="C259" i="3" s="1"/>
  <c r="Q104" i="2" a="1"/>
  <c r="Q104" i="2" s="1"/>
  <c r="B104" i="3"/>
  <c r="C104" i="3" s="1"/>
  <c r="Q248" i="2" a="1"/>
  <c r="Q248" i="2" s="1"/>
  <c r="B248" i="3"/>
  <c r="C248" i="3" s="1"/>
  <c r="Q93" i="2" a="1"/>
  <c r="Q93" i="2" s="1"/>
  <c r="B93" i="3"/>
  <c r="C93" i="3" s="1"/>
  <c r="Q237" i="2" a="1"/>
  <c r="Q237" i="2" s="1"/>
  <c r="B237" i="3"/>
  <c r="C237" i="3" s="1"/>
  <c r="Q82" i="2" a="1"/>
  <c r="Q82" i="2" s="1"/>
  <c r="B82" i="3"/>
  <c r="C82" i="3" s="1"/>
  <c r="Q274" i="2" a="1"/>
  <c r="Q274" i="2" s="1"/>
  <c r="B274" i="3"/>
  <c r="C274" i="3" s="1"/>
  <c r="Q27" i="2" a="1"/>
  <c r="Q27" i="2" s="1"/>
  <c r="B27" i="3"/>
  <c r="C27" i="3" s="1"/>
  <c r="Q293" i="2" a="1"/>
  <c r="Q293" i="2" s="1"/>
  <c r="B293" i="3"/>
  <c r="C293" i="3" s="1"/>
  <c r="Q282" i="2" a="1"/>
  <c r="Q282" i="2" s="1"/>
  <c r="B282" i="3"/>
  <c r="C282" i="3" s="1"/>
  <c r="Q286" i="2" a="1"/>
  <c r="Q286" i="2" s="1"/>
  <c r="B286" i="3"/>
  <c r="C286" i="3" s="1"/>
  <c r="Q108" i="2" a="1"/>
  <c r="Q108" i="2" s="1"/>
  <c r="B108" i="3"/>
  <c r="C108" i="3" s="1"/>
  <c r="Q278" i="2" a="1"/>
  <c r="Q278" i="2" s="1"/>
  <c r="B278" i="3"/>
  <c r="C278" i="3" s="1"/>
  <c r="Q17" i="2" a="1"/>
  <c r="Q17" i="2" s="1"/>
  <c r="B17" i="3"/>
  <c r="C17" i="3" s="1"/>
  <c r="Q150" i="2" a="1"/>
  <c r="Q150" i="2" s="1"/>
  <c r="B150" i="3"/>
  <c r="C150" i="3" s="1"/>
  <c r="Q294" i="2" a="1"/>
  <c r="Q294" i="2" s="1"/>
  <c r="B294" i="3"/>
  <c r="C294" i="3" s="1"/>
  <c r="Q298" i="2" a="1"/>
  <c r="Q298" i="2" s="1"/>
  <c r="B298" i="3"/>
  <c r="C298" i="3" s="1"/>
  <c r="Q109" i="2" a="1"/>
  <c r="Q109" i="2" s="1"/>
  <c r="B109" i="3"/>
  <c r="C109" i="3" s="1"/>
  <c r="Q2" i="2" a="1"/>
  <c r="Q2" i="2" s="1"/>
  <c r="B2" i="3"/>
  <c r="C2" i="3" s="1"/>
  <c r="Q146" i="2" a="1"/>
  <c r="Q146" i="2" s="1"/>
  <c r="B146" i="3"/>
  <c r="C146" i="3" s="1"/>
  <c r="Q51" i="2" a="1"/>
  <c r="Q51" i="2" s="1"/>
  <c r="B51" i="3"/>
  <c r="C51" i="3" s="1"/>
  <c r="Q263" i="2" a="1"/>
  <c r="Q263" i="2" s="1"/>
  <c r="B263" i="3"/>
  <c r="C263" i="3" s="1"/>
  <c r="Q136" i="2" a="1"/>
  <c r="Q136" i="2" s="1"/>
  <c r="B136" i="3"/>
  <c r="C136" i="3" s="1"/>
  <c r="Q29" i="2" a="1"/>
  <c r="Q29" i="2" s="1"/>
  <c r="B29" i="3"/>
  <c r="C29" i="3" s="1"/>
  <c r="Q18" i="2" a="1"/>
  <c r="Q18" i="2" s="1"/>
  <c r="B18" i="3"/>
  <c r="C18" i="3" s="1"/>
  <c r="Q7" i="2" a="1"/>
  <c r="Q7" i="2" s="1"/>
  <c r="B7" i="3"/>
  <c r="C7" i="3" s="1"/>
  <c r="Q295" i="2" a="1"/>
  <c r="Q295" i="2" s="1"/>
  <c r="B295" i="3"/>
  <c r="C295" i="3" s="1"/>
  <c r="Q140" i="2" a="1"/>
  <c r="Q140" i="2" s="1"/>
  <c r="B140" i="3"/>
  <c r="C140" i="3" s="1"/>
  <c r="Q129" i="2" a="1"/>
  <c r="Q129" i="2" s="1"/>
  <c r="B129" i="3"/>
  <c r="C129" i="3" s="1"/>
  <c r="Q273" i="2" a="1"/>
  <c r="Q273" i="2" s="1"/>
  <c r="B273" i="3"/>
  <c r="C273" i="3" s="1"/>
  <c r="Q11" i="2" a="1"/>
  <c r="Q11" i="2" s="1"/>
  <c r="B11" i="3"/>
  <c r="C11" i="3" s="1"/>
  <c r="Q132" i="2" a="1"/>
  <c r="Q132" i="2" s="1"/>
  <c r="B132" i="3"/>
  <c r="C132" i="3" s="1"/>
  <c r="Q276" i="2" a="1"/>
  <c r="Q276" i="2" s="1"/>
  <c r="B276" i="3"/>
  <c r="C276" i="3" s="1"/>
  <c r="Q265" i="2" a="1"/>
  <c r="Q265" i="2" s="1"/>
  <c r="B265" i="3"/>
  <c r="C265" i="3" s="1"/>
  <c r="Q158" i="2" a="1"/>
  <c r="Q158" i="2" s="1"/>
  <c r="B158" i="3"/>
  <c r="C158" i="3" s="1"/>
  <c r="Q63" i="2" a="1"/>
  <c r="Q63" i="2" s="1"/>
  <c r="B63" i="3"/>
  <c r="C63" i="3" s="1"/>
  <c r="Q4" i="2" a="1"/>
  <c r="Q4" i="2" s="1"/>
  <c r="B4" i="3"/>
  <c r="C4" i="3" s="1"/>
  <c r="Q148" i="2" a="1"/>
  <c r="Q148" i="2" s="1"/>
  <c r="B148" i="3"/>
  <c r="C148" i="3" s="1"/>
  <c r="Q292" i="2" a="1"/>
  <c r="Q292" i="2" s="1"/>
  <c r="B292" i="3"/>
  <c r="C292" i="3" s="1"/>
  <c r="Q41" i="2" a="1"/>
  <c r="Q41" i="2" s="1"/>
  <c r="B41" i="3"/>
  <c r="C41" i="3" s="1"/>
  <c r="Q30" i="2" a="1"/>
  <c r="Q30" i="2" s="1"/>
  <c r="B30" i="3"/>
  <c r="C30" i="3" s="1"/>
  <c r="Q174" i="2" a="1"/>
  <c r="Q174" i="2" s="1"/>
  <c r="B174" i="3"/>
  <c r="C174" i="3" s="1"/>
  <c r="Q19" i="2" a="1"/>
  <c r="Q19" i="2" s="1"/>
  <c r="B19" i="3"/>
  <c r="C19" i="3" s="1"/>
  <c r="Q163" i="2" a="1"/>
  <c r="Q163" i="2" s="1"/>
  <c r="B163" i="3"/>
  <c r="C163" i="3" s="1"/>
  <c r="Q8" i="2" a="1"/>
  <c r="Q8" i="2" s="1"/>
  <c r="B8" i="3"/>
  <c r="C8" i="3" s="1"/>
  <c r="Q152" i="2" a="1"/>
  <c r="Q152" i="2" s="1"/>
  <c r="B152" i="3"/>
  <c r="C152" i="3" s="1"/>
  <c r="Q296" i="2" a="1"/>
  <c r="Q296" i="2" s="1"/>
  <c r="B296" i="3"/>
  <c r="C296" i="3" s="1"/>
  <c r="Q141" i="2" a="1"/>
  <c r="Q141" i="2" s="1"/>
  <c r="B141" i="3"/>
  <c r="C141" i="3" s="1"/>
  <c r="Q285" i="2" a="1"/>
  <c r="Q285" i="2" s="1"/>
  <c r="B285" i="3"/>
  <c r="C285" i="3" s="1"/>
  <c r="Q130" i="2" a="1"/>
  <c r="Q130" i="2" s="1"/>
  <c r="B130" i="3"/>
  <c r="C130" i="3" s="1"/>
  <c r="Q23" i="2" a="1"/>
  <c r="Q23" i="2" s="1"/>
  <c r="B23" i="3"/>
  <c r="C23" i="3" s="1"/>
  <c r="Q266" i="2" a="1"/>
  <c r="Q266" i="2" s="1"/>
  <c r="B266" i="3"/>
  <c r="C266" i="3" s="1"/>
  <c r="Q138" i="2" a="1"/>
  <c r="Q138" i="2" s="1"/>
  <c r="B138" i="3"/>
  <c r="C138" i="3" s="1"/>
  <c r="Q260" i="2" a="1"/>
  <c r="Q260" i="2" s="1"/>
  <c r="B260" i="3"/>
  <c r="C260" i="3" s="1"/>
  <c r="Q287" i="2" a="1"/>
  <c r="Q287" i="2" s="1"/>
  <c r="B287" i="3"/>
  <c r="C287" i="3" s="1"/>
  <c r="Q161" i="2" a="1"/>
  <c r="Q161" i="2" s="1"/>
  <c r="B161" i="3"/>
  <c r="C161" i="3" s="1"/>
  <c r="Q106" i="2" a="1"/>
  <c r="Q106" i="2" s="1"/>
  <c r="B106" i="3"/>
  <c r="C106" i="3" s="1"/>
  <c r="Q253" i="2" a="1"/>
  <c r="Q253" i="2" s="1"/>
  <c r="B253" i="3"/>
  <c r="C253" i="3" s="1"/>
  <c r="Q290" i="2" a="1"/>
  <c r="Q290" i="2" s="1"/>
  <c r="B290" i="3"/>
  <c r="C290" i="3" s="1"/>
  <c r="Q195" i="2" a="1"/>
  <c r="Q195" i="2" s="1"/>
  <c r="B195" i="3"/>
  <c r="C195" i="3" s="1"/>
  <c r="Q280" i="2" a="1"/>
  <c r="Q280" i="2" s="1"/>
  <c r="B280" i="3"/>
  <c r="C280" i="3" s="1"/>
  <c r="Q173" i="2" a="1"/>
  <c r="Q173" i="2" s="1"/>
  <c r="B173" i="3"/>
  <c r="C173" i="3" s="1"/>
  <c r="Q162" i="2" a="1"/>
  <c r="Q162" i="2" s="1"/>
  <c r="B162" i="3"/>
  <c r="C162" i="3" s="1"/>
  <c r="Q151" i="2" a="1"/>
  <c r="Q151" i="2" s="1"/>
  <c r="B151" i="3"/>
  <c r="C151" i="3" s="1"/>
  <c r="Q284" i="2" a="1"/>
  <c r="Q284" i="2" s="1"/>
  <c r="B284" i="3"/>
  <c r="C284" i="3" s="1"/>
  <c r="Q118" i="2" a="1"/>
  <c r="Q118" i="2" s="1"/>
  <c r="B118" i="3"/>
  <c r="C118" i="3" s="1"/>
  <c r="Q121" i="2" a="1"/>
  <c r="Q121" i="2" s="1"/>
  <c r="B121" i="3"/>
  <c r="C121" i="3" s="1"/>
  <c r="Q14" i="2" a="1"/>
  <c r="Q14" i="2" s="1"/>
  <c r="B14" i="3"/>
  <c r="C14" i="3" s="1"/>
  <c r="Q142" i="2" a="1"/>
  <c r="Q142" i="2" s="1"/>
  <c r="B142" i="3"/>
  <c r="C142" i="3" s="1"/>
  <c r="Q207" i="2" a="1"/>
  <c r="Q207" i="2" s="1"/>
  <c r="B207" i="3"/>
  <c r="C207" i="3" s="1"/>
  <c r="Q185" i="2" a="1"/>
  <c r="Q185" i="2" s="1"/>
  <c r="B185" i="3"/>
  <c r="C185" i="3" s="1"/>
  <c r="Q144" i="2" a="1"/>
  <c r="Q144" i="2" s="1"/>
  <c r="B144" i="3"/>
  <c r="C144" i="3" s="1"/>
  <c r="Q288" i="2" a="1"/>
  <c r="Q288" i="2" s="1"/>
  <c r="B288" i="3"/>
  <c r="C288" i="3" s="1"/>
  <c r="Q133" i="2" a="1"/>
  <c r="Q133" i="2" s="1"/>
  <c r="B133" i="3"/>
  <c r="C133" i="3" s="1"/>
  <c r="Q277" i="2" a="1"/>
  <c r="Q277" i="2" s="1"/>
  <c r="B277" i="3"/>
  <c r="C277" i="3" s="1"/>
  <c r="Q26" i="2" a="1"/>
  <c r="Q26" i="2" s="1"/>
  <c r="B26" i="3"/>
  <c r="C26" i="3" s="1"/>
  <c r="Q170" i="2" a="1"/>
  <c r="Q170" i="2" s="1"/>
  <c r="B170" i="3"/>
  <c r="C170" i="3" s="1"/>
  <c r="Q35" i="2" a="1"/>
  <c r="Q35" i="2" s="1"/>
  <c r="B35" i="3"/>
  <c r="C35" i="3" s="1"/>
  <c r="Q75" i="2" a="1"/>
  <c r="Q75" i="2" s="1"/>
  <c r="B75" i="3"/>
  <c r="C75" i="3" s="1"/>
  <c r="Q219" i="2" a="1"/>
  <c r="Q219" i="2" s="1"/>
  <c r="B219" i="3"/>
  <c r="C219" i="3" s="1"/>
  <c r="Q16" i="2" a="1"/>
  <c r="Q16" i="2" s="1"/>
  <c r="B16" i="3"/>
  <c r="C16" i="3" s="1"/>
  <c r="Q160" i="2" a="1"/>
  <c r="Q160" i="2" s="1"/>
  <c r="B160" i="3"/>
  <c r="C160" i="3" s="1"/>
  <c r="Q190" i="2" a="1"/>
  <c r="Q190" i="2" s="1"/>
  <c r="B190" i="3"/>
  <c r="C190" i="3" s="1"/>
  <c r="Q53" i="2" a="1"/>
  <c r="Q53" i="2" s="1"/>
  <c r="B53" i="3"/>
  <c r="C53" i="3" s="1"/>
  <c r="Q197" i="2" a="1"/>
  <c r="Q197" i="2" s="1"/>
  <c r="B197" i="3"/>
  <c r="C197" i="3" s="1"/>
  <c r="Q42" i="2" a="1"/>
  <c r="Q42" i="2" s="1"/>
  <c r="B42" i="3"/>
  <c r="C42" i="3" s="1"/>
  <c r="Q186" i="2" a="1"/>
  <c r="Q186" i="2" s="1"/>
  <c r="B186" i="3"/>
  <c r="C186" i="3" s="1"/>
  <c r="Q31" i="2" a="1"/>
  <c r="Q31" i="2" s="1"/>
  <c r="B31" i="3"/>
  <c r="C31" i="3" s="1"/>
  <c r="Q175" i="2" a="1"/>
  <c r="Q175" i="2" s="1"/>
  <c r="B175" i="3"/>
  <c r="C175" i="3" s="1"/>
  <c r="Q20" i="2" a="1"/>
  <c r="Q20" i="2" s="1"/>
  <c r="B20" i="3"/>
  <c r="C20" i="3" s="1"/>
  <c r="Q164" i="2" a="1"/>
  <c r="Q164" i="2" s="1"/>
  <c r="B164" i="3"/>
  <c r="C164" i="3" s="1"/>
  <c r="Q9" i="2" a="1"/>
  <c r="Q9" i="2" s="1"/>
  <c r="B9" i="3"/>
  <c r="C9" i="3" s="1"/>
  <c r="Q153" i="2" a="1"/>
  <c r="Q153" i="2" s="1"/>
  <c r="B153" i="3"/>
  <c r="C153" i="3" s="1"/>
  <c r="Q297" i="2" a="1"/>
  <c r="Q297" i="2" s="1"/>
  <c r="B297" i="3"/>
  <c r="C297" i="3" s="1"/>
  <c r="Q166" i="2" a="1"/>
  <c r="Q166" i="2" s="1"/>
  <c r="B166" i="3"/>
  <c r="C166" i="3" s="1"/>
  <c r="Q251" i="2" a="1"/>
  <c r="Q251" i="2" s="1"/>
  <c r="B251" i="3"/>
  <c r="C251" i="3" s="1"/>
  <c r="E2" i="4" l="1"/>
  <c r="H2" i="4" s="1"/>
  <c r="P6" i="4"/>
  <c r="P5" i="4"/>
  <c r="P4" i="4"/>
  <c r="E8" i="3"/>
  <c r="E12" i="3" s="1"/>
  <c r="E7" i="3"/>
  <c r="E11" i="3" s="1"/>
  <c r="E6" i="3"/>
  <c r="E10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<sst xmlns="http://schemas.openxmlformats.org/spreadsheetml/2006/main" count="1274" uniqueCount="367">
  <si>
    <t>Customer_ID</t>
  </si>
  <si>
    <t>Customer_Type</t>
  </si>
  <si>
    <t>Country</t>
  </si>
  <si>
    <t>Industry</t>
  </si>
  <si>
    <t>Tx_Count_30D</t>
  </si>
  <si>
    <t>Total_Amount_30D</t>
  </si>
  <si>
    <t>Avg_Tx_Count_6M</t>
  </si>
  <si>
    <t>Avg_Total_Amount_6M</t>
  </si>
  <si>
    <t>CUST-001</t>
  </si>
  <si>
    <t>CUST-002</t>
  </si>
  <si>
    <t>CUST-003</t>
  </si>
  <si>
    <t>CUST-004</t>
  </si>
  <si>
    <t>CUST-005</t>
  </si>
  <si>
    <t>CUST-006</t>
  </si>
  <si>
    <t>CUST-007</t>
  </si>
  <si>
    <t>CUST-008</t>
  </si>
  <si>
    <t>CUST-009</t>
  </si>
  <si>
    <t>CUST-010</t>
  </si>
  <si>
    <t>CUST-011</t>
  </si>
  <si>
    <t>CUST-012</t>
  </si>
  <si>
    <t>CUST-013</t>
  </si>
  <si>
    <t>CUST-014</t>
  </si>
  <si>
    <t>CUST-015</t>
  </si>
  <si>
    <t>CUST-016</t>
  </si>
  <si>
    <t>CUST-017</t>
  </si>
  <si>
    <t>CUST-018</t>
  </si>
  <si>
    <t>CUST-019</t>
  </si>
  <si>
    <t>CUST-020</t>
  </si>
  <si>
    <t>CUST-021</t>
  </si>
  <si>
    <t>CUST-022</t>
  </si>
  <si>
    <t>CUST-023</t>
  </si>
  <si>
    <t>CUST-024</t>
  </si>
  <si>
    <t>CUST-025</t>
  </si>
  <si>
    <t>CUST-026</t>
  </si>
  <si>
    <t>CUST-027</t>
  </si>
  <si>
    <t>CUST-028</t>
  </si>
  <si>
    <t>CUST-029</t>
  </si>
  <si>
    <t>CUST-030</t>
  </si>
  <si>
    <t>CUST-031</t>
  </si>
  <si>
    <t>CUST-032</t>
  </si>
  <si>
    <t>CUST-033</t>
  </si>
  <si>
    <t>CUST-034</t>
  </si>
  <si>
    <t>CUST-035</t>
  </si>
  <si>
    <t>CUST-036</t>
  </si>
  <si>
    <t>CUST-037</t>
  </si>
  <si>
    <t>CUST-038</t>
  </si>
  <si>
    <t>CUST-039</t>
  </si>
  <si>
    <t>CUST-040</t>
  </si>
  <si>
    <t>CUST-041</t>
  </si>
  <si>
    <t>CUST-042</t>
  </si>
  <si>
    <t>CUST-043</t>
  </si>
  <si>
    <t>CUST-044</t>
  </si>
  <si>
    <t>CUST-045</t>
  </si>
  <si>
    <t>CUST-046</t>
  </si>
  <si>
    <t>CUST-047</t>
  </si>
  <si>
    <t>CUST-048</t>
  </si>
  <si>
    <t>CUST-049</t>
  </si>
  <si>
    <t>CUST-050</t>
  </si>
  <si>
    <t>CUST-051</t>
  </si>
  <si>
    <t>CUST-052</t>
  </si>
  <si>
    <t>CUST-053</t>
  </si>
  <si>
    <t>CUST-054</t>
  </si>
  <si>
    <t>CUST-055</t>
  </si>
  <si>
    <t>CUST-056</t>
  </si>
  <si>
    <t>CUST-057</t>
  </si>
  <si>
    <t>CUST-058</t>
  </si>
  <si>
    <t>CUST-059</t>
  </si>
  <si>
    <t>CUST-060</t>
  </si>
  <si>
    <t>CUST-061</t>
  </si>
  <si>
    <t>CUST-062</t>
  </si>
  <si>
    <t>CUST-063</t>
  </si>
  <si>
    <t>CUST-064</t>
  </si>
  <si>
    <t>CUST-065</t>
  </si>
  <si>
    <t>CUST-066</t>
  </si>
  <si>
    <t>CUST-067</t>
  </si>
  <si>
    <t>CUST-068</t>
  </si>
  <si>
    <t>CUST-069</t>
  </si>
  <si>
    <t>CUST-070</t>
  </si>
  <si>
    <t>CUST-071</t>
  </si>
  <si>
    <t>CUST-072</t>
  </si>
  <si>
    <t>CUST-073</t>
  </si>
  <si>
    <t>CUST-074</t>
  </si>
  <si>
    <t>CUST-075</t>
  </si>
  <si>
    <t>CUST-076</t>
  </si>
  <si>
    <t>CUST-077</t>
  </si>
  <si>
    <t>CUST-078</t>
  </si>
  <si>
    <t>CUST-079</t>
  </si>
  <si>
    <t>CUST-080</t>
  </si>
  <si>
    <t>CUST-081</t>
  </si>
  <si>
    <t>CUST-082</t>
  </si>
  <si>
    <t>CUST-083</t>
  </si>
  <si>
    <t>CUST-084</t>
  </si>
  <si>
    <t>CUST-085</t>
  </si>
  <si>
    <t>CUST-086</t>
  </si>
  <si>
    <t>CUST-087</t>
  </si>
  <si>
    <t>CUST-088</t>
  </si>
  <si>
    <t>CUST-089</t>
  </si>
  <si>
    <t>CUST-090</t>
  </si>
  <si>
    <t>CUST-091</t>
  </si>
  <si>
    <t>CUST-092</t>
  </si>
  <si>
    <t>CUST-093</t>
  </si>
  <si>
    <t>CUST-094</t>
  </si>
  <si>
    <t>CUST-095</t>
  </si>
  <si>
    <t>CUST-096</t>
  </si>
  <si>
    <t>CUST-097</t>
  </si>
  <si>
    <t>CUST-098</t>
  </si>
  <si>
    <t>CUST-099</t>
  </si>
  <si>
    <t>CUST-100</t>
  </si>
  <si>
    <t>CUST-101</t>
  </si>
  <si>
    <t>CUST-102</t>
  </si>
  <si>
    <t>CUST-103</t>
  </si>
  <si>
    <t>CUST-104</t>
  </si>
  <si>
    <t>CUST-105</t>
  </si>
  <si>
    <t>CUST-106</t>
  </si>
  <si>
    <t>CUST-107</t>
  </si>
  <si>
    <t>CUST-108</t>
  </si>
  <si>
    <t>CUST-109</t>
  </si>
  <si>
    <t>CUST-110</t>
  </si>
  <si>
    <t>CUST-111</t>
  </si>
  <si>
    <t>CUST-112</t>
  </si>
  <si>
    <t>CUST-113</t>
  </si>
  <si>
    <t>CUST-114</t>
  </si>
  <si>
    <t>CUST-115</t>
  </si>
  <si>
    <t>CUST-116</t>
  </si>
  <si>
    <t>CUST-117</t>
  </si>
  <si>
    <t>CUST-118</t>
  </si>
  <si>
    <t>CUST-119</t>
  </si>
  <si>
    <t>CUST-120</t>
  </si>
  <si>
    <t>CUST-121</t>
  </si>
  <si>
    <t>CUST-122</t>
  </si>
  <si>
    <t>CUST-123</t>
  </si>
  <si>
    <t>CUST-124</t>
  </si>
  <si>
    <t>CUST-125</t>
  </si>
  <si>
    <t>CUST-126</t>
  </si>
  <si>
    <t>CUST-127</t>
  </si>
  <si>
    <t>CUST-128</t>
  </si>
  <si>
    <t>CUST-129</t>
  </si>
  <si>
    <t>CUST-130</t>
  </si>
  <si>
    <t>CUST-131</t>
  </si>
  <si>
    <t>CUST-132</t>
  </si>
  <si>
    <t>CUST-133</t>
  </si>
  <si>
    <t>CUST-134</t>
  </si>
  <si>
    <t>CUST-135</t>
  </si>
  <si>
    <t>CUST-136</t>
  </si>
  <si>
    <t>CUST-137</t>
  </si>
  <si>
    <t>CUST-138</t>
  </si>
  <si>
    <t>CUST-139</t>
  </si>
  <si>
    <t>CUST-140</t>
  </si>
  <si>
    <t>CUST-141</t>
  </si>
  <si>
    <t>CUST-142</t>
  </si>
  <si>
    <t>CUST-143</t>
  </si>
  <si>
    <t>CUST-144</t>
  </si>
  <si>
    <t>CUST-145</t>
  </si>
  <si>
    <t>CUST-146</t>
  </si>
  <si>
    <t>CUST-147</t>
  </si>
  <si>
    <t>CUST-148</t>
  </si>
  <si>
    <t>CUST-149</t>
  </si>
  <si>
    <t>CUST-150</t>
  </si>
  <si>
    <t>CUST-151</t>
  </si>
  <si>
    <t>CUST-152</t>
  </si>
  <si>
    <t>CUST-153</t>
  </si>
  <si>
    <t>CUST-154</t>
  </si>
  <si>
    <t>CUST-155</t>
  </si>
  <si>
    <t>CUST-156</t>
  </si>
  <si>
    <t>CUST-157</t>
  </si>
  <si>
    <t>CUST-158</t>
  </si>
  <si>
    <t>CUST-159</t>
  </si>
  <si>
    <t>CUST-160</t>
  </si>
  <si>
    <t>CUST-161</t>
  </si>
  <si>
    <t>CUST-162</t>
  </si>
  <si>
    <t>CUST-163</t>
  </si>
  <si>
    <t>CUST-164</t>
  </si>
  <si>
    <t>CUST-165</t>
  </si>
  <si>
    <t>CUST-166</t>
  </si>
  <si>
    <t>CUST-167</t>
  </si>
  <si>
    <t>CUST-168</t>
  </si>
  <si>
    <t>CUST-169</t>
  </si>
  <si>
    <t>CUST-170</t>
  </si>
  <si>
    <t>CUST-171</t>
  </si>
  <si>
    <t>CUST-172</t>
  </si>
  <si>
    <t>CUST-173</t>
  </si>
  <si>
    <t>CUST-174</t>
  </si>
  <si>
    <t>CUST-175</t>
  </si>
  <si>
    <t>CUST-176</t>
  </si>
  <si>
    <t>CUST-177</t>
  </si>
  <si>
    <t>CUST-178</t>
  </si>
  <si>
    <t>CUST-179</t>
  </si>
  <si>
    <t>CUST-180</t>
  </si>
  <si>
    <t>CUST-181</t>
  </si>
  <si>
    <t>CUST-182</t>
  </si>
  <si>
    <t>CUST-183</t>
  </si>
  <si>
    <t>CUST-184</t>
  </si>
  <si>
    <t>CUST-185</t>
  </si>
  <si>
    <t>CUST-186</t>
  </si>
  <si>
    <t>CUST-187</t>
  </si>
  <si>
    <t>CUST-188</t>
  </si>
  <si>
    <t>CUST-189</t>
  </si>
  <si>
    <t>CUST-190</t>
  </si>
  <si>
    <t>CUST-191</t>
  </si>
  <si>
    <t>CUST-192</t>
  </si>
  <si>
    <t>CUST-193</t>
  </si>
  <si>
    <t>CUST-194</t>
  </si>
  <si>
    <t>CUST-195</t>
  </si>
  <si>
    <t>CUST-196</t>
  </si>
  <si>
    <t>CUST-197</t>
  </si>
  <si>
    <t>CUST-198</t>
  </si>
  <si>
    <t>CUST-199</t>
  </si>
  <si>
    <t>CUST-200</t>
  </si>
  <si>
    <t>CUST-201</t>
  </si>
  <si>
    <t>CUST-202</t>
  </si>
  <si>
    <t>CUST-203</t>
  </si>
  <si>
    <t>CUST-204</t>
  </si>
  <si>
    <t>CUST-205</t>
  </si>
  <si>
    <t>CUST-206</t>
  </si>
  <si>
    <t>CUST-207</t>
  </si>
  <si>
    <t>CUST-208</t>
  </si>
  <si>
    <t>CUST-209</t>
  </si>
  <si>
    <t>CUST-210</t>
  </si>
  <si>
    <t>CUST-211</t>
  </si>
  <si>
    <t>CUST-212</t>
  </si>
  <si>
    <t>CUST-213</t>
  </si>
  <si>
    <t>CUST-214</t>
  </si>
  <si>
    <t>CUST-215</t>
  </si>
  <si>
    <t>CUST-216</t>
  </si>
  <si>
    <t>CUST-217</t>
  </si>
  <si>
    <t>CUST-218</t>
  </si>
  <si>
    <t>CUST-219</t>
  </si>
  <si>
    <t>CUST-220</t>
  </si>
  <si>
    <t>CUST-221</t>
  </si>
  <si>
    <t>CUST-222</t>
  </si>
  <si>
    <t>CUST-223</t>
  </si>
  <si>
    <t>CUST-224</t>
  </si>
  <si>
    <t>CUST-225</t>
  </si>
  <si>
    <t>CUST-226</t>
  </si>
  <si>
    <t>CUST-227</t>
  </si>
  <si>
    <t>CUST-228</t>
  </si>
  <si>
    <t>CUST-229</t>
  </si>
  <si>
    <t>CUST-230</t>
  </si>
  <si>
    <t>CUST-231</t>
  </si>
  <si>
    <t>CUST-232</t>
  </si>
  <si>
    <t>CUST-233</t>
  </si>
  <si>
    <t>CUST-234</t>
  </si>
  <si>
    <t>CUST-235</t>
  </si>
  <si>
    <t>CUST-236</t>
  </si>
  <si>
    <t>CUST-237</t>
  </si>
  <si>
    <t>CUST-238</t>
  </si>
  <si>
    <t>CUST-239</t>
  </si>
  <si>
    <t>CUST-240</t>
  </si>
  <si>
    <t>CUST-241</t>
  </si>
  <si>
    <t>CUST-242</t>
  </si>
  <si>
    <t>CUST-243</t>
  </si>
  <si>
    <t>CUST-244</t>
  </si>
  <si>
    <t>CUST-245</t>
  </si>
  <si>
    <t>CUST-246</t>
  </si>
  <si>
    <t>CUST-247</t>
  </si>
  <si>
    <t>CUST-248</t>
  </si>
  <si>
    <t>CUST-249</t>
  </si>
  <si>
    <t>CUST-250</t>
  </si>
  <si>
    <t>CUST-251</t>
  </si>
  <si>
    <t>CUST-252</t>
  </si>
  <si>
    <t>CUST-253</t>
  </si>
  <si>
    <t>CUST-254</t>
  </si>
  <si>
    <t>CUST-255</t>
  </si>
  <si>
    <t>CUST-256</t>
  </si>
  <si>
    <t>CUST-257</t>
  </si>
  <si>
    <t>CUST-258</t>
  </si>
  <si>
    <t>CUST-259</t>
  </si>
  <si>
    <t>CUST-260</t>
  </si>
  <si>
    <t>CUST-261</t>
  </si>
  <si>
    <t>CUST-262</t>
  </si>
  <si>
    <t>CUST-263</t>
  </si>
  <si>
    <t>CUST-264</t>
  </si>
  <si>
    <t>CUST-265</t>
  </si>
  <si>
    <t>CUST-266</t>
  </si>
  <si>
    <t>CUST-267</t>
  </si>
  <si>
    <t>CUST-268</t>
  </si>
  <si>
    <t>CUST-269</t>
  </si>
  <si>
    <t>CUST-270</t>
  </si>
  <si>
    <t>CUST-271</t>
  </si>
  <si>
    <t>CUST-272</t>
  </si>
  <si>
    <t>CUST-273</t>
  </si>
  <si>
    <t>CUST-274</t>
  </si>
  <si>
    <t>CUST-275</t>
  </si>
  <si>
    <t>CUST-276</t>
  </si>
  <si>
    <t>CUST-277</t>
  </si>
  <si>
    <t>CUST-278</t>
  </si>
  <si>
    <t>CUST-279</t>
  </si>
  <si>
    <t>CUST-280</t>
  </si>
  <si>
    <t>CUST-281</t>
  </si>
  <si>
    <t>CUST-282</t>
  </si>
  <si>
    <t>CUST-283</t>
  </si>
  <si>
    <t>CUST-284</t>
  </si>
  <si>
    <t>CUST-285</t>
  </si>
  <si>
    <t>CUST-286</t>
  </si>
  <si>
    <t>CUST-287</t>
  </si>
  <si>
    <t>CUST-288</t>
  </si>
  <si>
    <t>CUST-289</t>
  </si>
  <si>
    <t>CUST-290</t>
  </si>
  <si>
    <t>CUST-291</t>
  </si>
  <si>
    <t>CUST-292</t>
  </si>
  <si>
    <t>CUST-293</t>
  </si>
  <si>
    <t>CUST-294</t>
  </si>
  <si>
    <t>CUST-295</t>
  </si>
  <si>
    <t>CUST-296</t>
  </si>
  <si>
    <t>CUST-297</t>
  </si>
  <si>
    <t>CUST-298</t>
  </si>
  <si>
    <t>CUST-299</t>
  </si>
  <si>
    <t>CUST-300</t>
  </si>
  <si>
    <t>Business</t>
  </si>
  <si>
    <t>Individual</t>
  </si>
  <si>
    <t>USA</t>
  </si>
  <si>
    <t>Cyprus</t>
  </si>
  <si>
    <t>Panama</t>
  </si>
  <si>
    <t>BVI</t>
  </si>
  <si>
    <t>Hong Kong</t>
  </si>
  <si>
    <t>Seychelles</t>
  </si>
  <si>
    <t>UAE</t>
  </si>
  <si>
    <t>Consulting</t>
  </si>
  <si>
    <t>Import/Export</t>
  </si>
  <si>
    <t>IT Services</t>
  </si>
  <si>
    <t>Logistics</t>
  </si>
  <si>
    <t>Trading</t>
  </si>
  <si>
    <t>Manufacturing</t>
  </si>
  <si>
    <t>Geo_Score</t>
  </si>
  <si>
    <t>Velocity_Score</t>
  </si>
  <si>
    <t>Volume_Score</t>
  </si>
  <si>
    <t>Final_Risk_Score</t>
  </si>
  <si>
    <t>Risk_Tier</t>
  </si>
  <si>
    <t>Analyst_Recommendation</t>
  </si>
  <si>
    <t>Score</t>
  </si>
  <si>
    <t>Turkey</t>
  </si>
  <si>
    <t>Cayman Islands</t>
  </si>
  <si>
    <t>Count_Deviation</t>
  </si>
  <si>
    <t>Amount_Deviation</t>
  </si>
  <si>
    <t>Deviation_Score</t>
  </si>
  <si>
    <t>Georgia</t>
  </si>
  <si>
    <t>Armenia</t>
  </si>
  <si>
    <t>Geo_Score lookup table</t>
  </si>
  <si>
    <t>Threshold_Controls</t>
  </si>
  <si>
    <t>Test_Risk_Tier</t>
  </si>
  <si>
    <t>Tier_Summary</t>
  </si>
  <si>
    <t>High_Count</t>
  </si>
  <si>
    <t>Medium_Count</t>
  </si>
  <si>
    <t>Low_Count</t>
  </si>
  <si>
    <t>Total</t>
  </si>
  <si>
    <t>High_%</t>
  </si>
  <si>
    <t>Medium_%</t>
  </si>
  <si>
    <t>Low_%</t>
  </si>
  <si>
    <t>Risk Distribution (Current Thresholds)</t>
  </si>
  <si>
    <t>High</t>
  </si>
  <si>
    <t>Medium</t>
  </si>
  <si>
    <t>Low</t>
  </si>
  <si>
    <t>Total Customers</t>
  </si>
  <si>
    <t>High Risk</t>
  </si>
  <si>
    <t>High Risk %</t>
  </si>
  <si>
    <t>Escalation Threshold</t>
  </si>
  <si>
    <t>High_Threshold</t>
  </si>
  <si>
    <t>Medium_Trashold</t>
  </si>
  <si>
    <r>
      <rPr>
        <b/>
        <sz val="11"/>
        <color theme="1"/>
        <rFont val="Calibri"/>
        <family val="2"/>
        <scheme val="minor"/>
      </rPr>
      <t>Threshold Sensitivity Analysis:</t>
    </r>
    <r>
      <rPr>
        <sz val="11"/>
        <color theme="1"/>
        <rFont val="Calibri"/>
        <family val="2"/>
        <scheme val="minor"/>
      </rPr>
      <t xml:space="preserve">
Risk thresholds were tested to evaluate alert volume versus analyst capacity. At a High Risk threshold of 7.5, the model generated a manageable number of high-risk cases while maintaining adequate risk coverage. Increasing the threshold reduced escalations but risked under-detection, while lowering it materially increased analyst workload. A threshold of 7.5 was selected to balance operational efficiency with risk exposure. I tested multiple threshold levels to understand how alert volume changes relative to analyst capacity. A high-risk cutoff of 7.5 provided a balance between escalation volume and risk coverage.”</t>
    </r>
  </si>
  <si>
    <t>Escalation Threshold  → Risk Escalation Cutoff (Model Parameter)</t>
  </si>
  <si>
    <t>All risk tier counts and KPIs dynamically update based on the selected escalation cutoff to support analyst capacity planning.</t>
  </si>
  <si>
    <t>Risk Driver Analysis (Avg Scores by Risk Tier)</t>
  </si>
  <si>
    <t>Risk Tier</t>
  </si>
  <si>
    <t>Avg Velocity</t>
  </si>
  <si>
    <t>Avg Volume</t>
  </si>
  <si>
    <t>Avg Deviation</t>
  </si>
  <si>
    <t>Avg Geo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</si>
</sst>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2" tint="-9.9978637043366805E-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4" xfId="0" applyBorder="1"/>
    <xf numFmtId="164" fontId="0" fillId="0" borderId="5" xfId="0" applyNumberFormat="1" applyBorder="1"/>
    <xf numFmtId="0" fontId="0" fillId="0" borderId="5" xfId="0" applyBorder="1"/>
    <xf numFmtId="165" fontId="0" fillId="0" borderId="5" xfId="1" applyNumberFormat="1" applyFont="1" applyBorder="1"/>
    <xf numFmtId="0" fontId="0" fillId="0" borderId="6" xfId="0" applyBorder="1"/>
    <xf numFmtId="165" fontId="0" fillId="0" borderId="7" xfId="1" applyNumberFormat="1" applyFont="1" applyBorder="1"/>
    <xf numFmtId="10" fontId="0" fillId="0" borderId="0" xfId="0" applyNumberFormat="1"/>
    <xf numFmtId="0" fontId="8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9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5" fontId="6" fillId="0" borderId="10" xfId="0" applyNumberFormat="1" applyFon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5" fontId="7" fillId="0" borderId="10" xfId="0" applyNumberFormat="1" applyFont="1" applyBorder="1" applyAlignment="1">
      <alignment horizontal="center" vertical="center"/>
    </xf>
    <xf numFmtId="2" fontId="5" fillId="0" borderId="10" xfId="1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1" fillId="0" borderId="16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164" fontId="11" fillId="0" borderId="1" xfId="0" applyNumberFormat="1" applyFont="1" applyBorder="1" applyAlignment="1">
      <alignment horizontal="center" vertical="center"/>
    </xf>
    <xf numFmtId="164" fontId="11" fillId="0" borderId="17" xfId="0" applyNumberFormat="1" applyFont="1" applyBorder="1" applyAlignment="1">
      <alignment horizontal="center" vertical="center"/>
    </xf>
    <xf numFmtId="164" fontId="11" fillId="0" borderId="10" xfId="0" applyNumberFormat="1" applyFont="1" applyBorder="1" applyAlignment="1">
      <alignment horizontal="center" vertical="center"/>
    </xf>
    <xf numFmtId="164" fontId="11" fillId="0" borderId="12" xfId="0" applyNumberFormat="1" applyFont="1" applyBorder="1" applyAlignment="1">
      <alignment horizontal="center" vertical="center"/>
    </xf>
    <xf numFmtId="164" fontId="11" fillId="0" borderId="14" xfId="0" applyNumberFormat="1" applyFont="1" applyBorder="1" applyAlignment="1">
      <alignment horizontal="center" vertical="center"/>
    </xf>
    <xf numFmtId="164" fontId="11" fillId="0" borderId="15" xfId="0" applyNumberFormat="1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7"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border outline="0">
        <top style="thin">
          <color auto="1"/>
        </top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Risk Distribution (Current Thresholds)</a:t>
            </a:r>
          </a:p>
        </c:rich>
      </c:tx>
      <c:layout>
        <c:manualLayout>
          <c:xMode val="edge"/>
          <c:yMode val="edge"/>
          <c:x val="0.18310663008483713"/>
          <c:y val="2.42424242424242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82782595480752E-2"/>
          <c:y val="7.5497702909647774E-2"/>
          <c:w val="0.90463417645773769"/>
          <c:h val="0.8534509411438425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1F2-4E76-9ECA-0AA474238A8F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1F2-4E76-9ECA-0AA474238A8F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1F2-4E76-9ECA-0AA474238A8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Dashboard!$O$4:$O$6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Dashboard!$P$4:$P$6</c:f>
              <c:numCache>
                <c:formatCode>General</c:formatCode>
                <c:ptCount val="3"/>
                <c:pt idx="0">
                  <c:v>83</c:v>
                </c:pt>
                <c:pt idx="1">
                  <c:v>155</c:v>
                </c:pt>
                <c:pt idx="2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F2-4E76-9ECA-0AA474238A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19648976"/>
        <c:axId val="319648496"/>
      </c:barChart>
      <c:catAx>
        <c:axId val="31964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648496"/>
        <c:crosses val="autoZero"/>
        <c:auto val="1"/>
        <c:lblAlgn val="ctr"/>
        <c:lblOffset val="100"/>
        <c:noMultiLvlLbl val="0"/>
      </c:catAx>
      <c:valAx>
        <c:axId val="31964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648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Risk Driver Comparison by Risk Tier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Dashboard!$A$34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Dashboard!$B$33:$E$33</c:f>
              <c:strCache>
                <c:ptCount val="4"/>
                <c:pt idx="0">
                  <c:v>Avg Velocity</c:v>
                </c:pt>
                <c:pt idx="1">
                  <c:v>Avg Volume</c:v>
                </c:pt>
                <c:pt idx="2">
                  <c:v>Avg Deviation</c:v>
                </c:pt>
                <c:pt idx="3">
                  <c:v>Avg Geo</c:v>
                </c:pt>
              </c:strCache>
            </c:strRef>
          </c:cat>
          <c:val>
            <c:numRef>
              <c:f>Dashboard!$B$34:$E$34</c:f>
              <c:numCache>
                <c:formatCode>0.0</c:formatCode>
                <c:ptCount val="4"/>
                <c:pt idx="0">
                  <c:v>8.4216867469879517</c:v>
                </c:pt>
                <c:pt idx="1">
                  <c:v>8.8554216867469879</c:v>
                </c:pt>
                <c:pt idx="2">
                  <c:v>7.4216867469879517</c:v>
                </c:pt>
                <c:pt idx="3">
                  <c:v>7.7228915662650603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B3-4F8B-B5D8-49FF4C2407BE}"/>
            </c:ext>
          </c:extLst>
        </c:ser>
        <c:ser>
          <c:idx val="1"/>
          <c:order val="1"/>
          <c:tx>
            <c:strRef>
              <c:f>Dashboard!$A$35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Dashboard!$B$33:$E$33</c:f>
              <c:strCache>
                <c:ptCount val="4"/>
                <c:pt idx="0">
                  <c:v>Avg Velocity</c:v>
                </c:pt>
                <c:pt idx="1">
                  <c:v>Avg Volume</c:v>
                </c:pt>
                <c:pt idx="2">
                  <c:v>Avg Deviation</c:v>
                </c:pt>
                <c:pt idx="3">
                  <c:v>Avg Geo</c:v>
                </c:pt>
              </c:strCache>
            </c:strRef>
          </c:cat>
          <c:val>
            <c:numRef>
              <c:f>Dashboard!$B$35:$E$35</c:f>
              <c:numCache>
                <c:formatCode>0.0</c:formatCode>
                <c:ptCount val="4"/>
                <c:pt idx="0">
                  <c:v>7.0580645161290319</c:v>
                </c:pt>
                <c:pt idx="1">
                  <c:v>7.6387096774193548</c:v>
                </c:pt>
                <c:pt idx="2">
                  <c:v>4.5290322580645164</c:v>
                </c:pt>
                <c:pt idx="3">
                  <c:v>6.8967741935483868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B3-4F8B-B5D8-49FF4C2407BE}"/>
            </c:ext>
          </c:extLst>
        </c:ser>
        <c:ser>
          <c:idx val="2"/>
          <c:order val="2"/>
          <c:tx>
            <c:strRef>
              <c:f>Dashboard!$A$36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Dashboard!$B$33:$E$33</c:f>
              <c:strCache>
                <c:ptCount val="4"/>
                <c:pt idx="0">
                  <c:v>Avg Velocity</c:v>
                </c:pt>
                <c:pt idx="1">
                  <c:v>Avg Volume</c:v>
                </c:pt>
                <c:pt idx="2">
                  <c:v>Avg Deviation</c:v>
                </c:pt>
                <c:pt idx="3">
                  <c:v>Avg Geo</c:v>
                </c:pt>
              </c:strCache>
            </c:strRef>
          </c:cat>
          <c:val>
            <c:numRef>
              <c:f>Dashboard!$B$36:$E$36</c:f>
              <c:numCache>
                <c:formatCode>0.0</c:formatCode>
                <c:ptCount val="4"/>
                <c:pt idx="0">
                  <c:v>6</c:v>
                </c:pt>
                <c:pt idx="1">
                  <c:v>5.241935483870968</c:v>
                </c:pt>
                <c:pt idx="2">
                  <c:v>2.5483870967741935</c:v>
                </c:pt>
                <c:pt idx="3">
                  <c:v>4.741935483870968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B3-4F8B-B5D8-49FF4C240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82589392"/>
        <c:axId val="1582591792"/>
      </c:barChart>
      <c:catAx>
        <c:axId val="15825893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591792"/>
        <c:crosses val="autoZero"/>
        <c:auto val="1"/>
        <c:lblAlgn val="ctr"/>
        <c:lblOffset val="100"/>
        <c:noMultiLvlLbl val="0"/>
      </c:catAx>
      <c:valAx>
        <c:axId val="1582591792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58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3</xdr:row>
      <xdr:rowOff>50799</xdr:rowOff>
    </xdr:from>
    <xdr:to>
      <xdr:col>5</xdr:col>
      <xdr:colOff>166686</xdr:colOff>
      <xdr:row>26</xdr:row>
      <xdr:rowOff>83343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0CEF8F-141E-0B07-F4F2-3F287A36AB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38098</xdr:colOff>
      <xdr:row>26</xdr:row>
      <xdr:rowOff>92076</xdr:rowOff>
    </xdr:from>
    <xdr:to>
      <xdr:col>5</xdr:col>
      <xdr:colOff>107155</xdr:colOff>
      <xdr:row>30</xdr:row>
      <xdr:rowOff>15081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44E2627-E45D-3E94-032E-3EFCE1631904}"/>
            </a:ext>
          </a:extLst>
        </xdr:cNvPr>
        <xdr:cNvSpPr txBox="1"/>
      </xdr:nvSpPr>
      <xdr:spPr>
        <a:xfrm>
          <a:off x="38098" y="5056982"/>
          <a:ext cx="5188745" cy="4587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>
              <a:solidFill>
                <a:schemeClr val="bg2">
                  <a:lumMod val="25000"/>
                </a:schemeClr>
              </a:solidFill>
            </a:rPr>
            <a:t>At a 7.5 escalation threshold, 27.7% of customers are flagged as High Risk, maintaining manageable analyst workload while preserving coverage of anomalous activity.</a:t>
          </a:r>
        </a:p>
      </xdr:txBody>
    </xdr:sp>
    <xdr:clientData/>
  </xdr:twoCellAnchor>
  <xdr:twoCellAnchor>
    <xdr:from>
      <xdr:col>5</xdr:col>
      <xdr:colOff>398235</xdr:colOff>
      <xdr:row>6</xdr:row>
      <xdr:rowOff>103981</xdr:rowOff>
    </xdr:from>
    <xdr:to>
      <xdr:col>11</xdr:col>
      <xdr:colOff>149678</xdr:colOff>
      <xdr:row>35</xdr:row>
      <xdr:rowOff>178593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F03416-8607-9C4C-FC21-3D7E3B7EF7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440531</xdr:colOff>
      <xdr:row>36</xdr:row>
      <xdr:rowOff>130968</xdr:rowOff>
    </xdr:from>
    <xdr:to>
      <xdr:col>11</xdr:col>
      <xdr:colOff>154781</xdr:colOff>
      <xdr:row>40</xdr:row>
      <xdr:rowOff>81643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6F76EA7-F79F-FDB5-69E5-A04047DC95DD}"/>
            </a:ext>
          </a:extLst>
        </xdr:cNvPr>
        <xdr:cNvSpPr/>
      </xdr:nvSpPr>
      <xdr:spPr>
        <a:xfrm>
          <a:off x="5543210" y="7206682"/>
          <a:ext cx="6014357" cy="658247"/>
        </a:xfrm>
        <a:prstGeom prst="rect">
          <a:avLst/>
        </a:prstGeom>
        <a:solidFill>
          <a:schemeClr val="lt1"/>
        </a:solidFill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/>
            <a:t>High-risk customers are primarily driven by elevated transaction velocity and volume, while geographic risk plays a secondary role. This supports prioritizing velocity-based alerts in escalation logic.</a:t>
          </a:r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0.35977</cdr:x>
      <cdr:y>0.94776</cdr:y>
    </cdr:from>
    <cdr:to>
      <cdr:x>0.45326</cdr:x>
      <cdr:y>0.96567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AD32537-5DD0-4768-2351-E32FAC088EBD}"/>
            </a:ext>
          </a:extLst>
        </cdr:cNvPr>
        <cdr:cNvSpPr txBox="1"/>
      </cdr:nvSpPr>
      <cdr:spPr>
        <a:xfrm xmlns:a="http://schemas.openxmlformats.org/drawingml/2006/main">
          <a:off x="1209675" y="2419350"/>
          <a:ext cx="314325" cy="457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0.30973</cdr:x>
      <cdr:y>0.94949</cdr:y>
    </cdr:from>
    <cdr:to>
      <cdr:x>0.4712</cdr:x>
      <cdr:y>0.97374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9E4F30F-1732-1CAE-CA31-8116CBE37B71}"/>
            </a:ext>
          </a:extLst>
        </cdr:cNvPr>
        <cdr:cNvSpPr txBox="1"/>
      </cdr:nvSpPr>
      <cdr:spPr>
        <a:xfrm xmlns:a="http://schemas.openxmlformats.org/drawingml/2006/main">
          <a:off x="1041400" y="2984500"/>
          <a:ext cx="542925" cy="76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65206D-8E73-4393-8F46-F6A0D9AC768D}" name="tbl_data" displayName="tbl_data" ref="A1:H1048576" totalsRowShown="0" headerRowDxfId="26">
  <autoFilter ref="A1:H1048576" xr:uid="{A665206D-8E73-4393-8F46-F6A0D9AC768D}"/>
  <tableColumns count="8">
    <tableColumn id="1" xr3:uid="{C41D36F1-245C-4624-8F28-C462B5AE4144}" name="Customer_ID"/>
    <tableColumn id="2" xr3:uid="{84C3AB30-7BDE-467F-850B-ACE807E922F8}" name="Customer_Type"/>
    <tableColumn id="3" xr3:uid="{CB6565DC-7021-4BAC-BE84-B39E65A87FB6}" name="Country"/>
    <tableColumn id="4" xr3:uid="{DA4994F0-FA56-4DC5-817A-52970DAA06B0}" name="Industry"/>
    <tableColumn id="5" xr3:uid="{9F307AFA-8701-407F-8D5D-637F5143598D}" name="Tx_Count_30D"/>
    <tableColumn id="6" xr3:uid="{BFC9B9D5-D4D5-4955-83A3-314A9084220A}" name="Total_Amount_30D"/>
    <tableColumn id="7" xr3:uid="{8564F597-5ECF-4FA0-9073-9D1B942BA5B3}" name="Avg_Tx_Count_6M"/>
    <tableColumn id="8" xr3:uid="{A44CD4BA-D32A-4143-9260-1B16D94A3EF6}" name="Avg_Total_Amount_6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658032-25DC-4ED2-B030-E02DFFEB15AA}" name="tbl_Data2" displayName="tbl_Data2" ref="A1:Q301" totalsRowShown="0" headerRowDxfId="25">
  <autoFilter ref="A1:Q301" xr:uid="{E7658032-25DC-4ED2-B030-E02DFFEB15AA}">
    <filterColumn colId="15">
      <filters>
        <filter val="Medium"/>
      </filters>
    </filterColumn>
  </autoFilter>
  <tableColumns count="17">
    <tableColumn id="1" xr3:uid="{3FF26038-3275-4F51-9DC4-1D88E9C70974}" name="Customer_ID" dataDxfId="24">
      <calculatedColumnFormula>tbl_data[[#This Row],[Customer_ID]]</calculatedColumnFormula>
    </tableColumn>
    <tableColumn id="2" xr3:uid="{565C78A4-E07C-43D3-B77A-19A19F4D1D20}" name="Customer_Type" dataDxfId="23">
      <calculatedColumnFormula>tbl_data[[#This Row],[Customer_Type]]</calculatedColumnFormula>
    </tableColumn>
    <tableColumn id="3" xr3:uid="{33EBE954-D6A8-42CA-95AF-ABEA9B043954}" name="Country" dataDxfId="22">
      <calculatedColumnFormula>tbl_data[[#This Row],[Country]]</calculatedColumnFormula>
    </tableColumn>
    <tableColumn id="4" xr3:uid="{D722C6DE-7EBE-467B-9B40-71D04AEA8474}" name="Industry" dataDxfId="21">
      <calculatedColumnFormula>tbl_data[[#This Row],[Industry]]</calculatedColumnFormula>
    </tableColumn>
    <tableColumn id="5" xr3:uid="{3B48F97A-E9E3-45FF-B621-9FFF899378C1}" name="Tx_Count_30D" dataDxfId="20">
      <calculatedColumnFormula>tbl_data[[#This Row],[Tx_Count_30D]]</calculatedColumnFormula>
    </tableColumn>
    <tableColumn id="6" xr3:uid="{670FB81D-9FDC-4318-AA10-214E79C39DF5}" name="Total_Amount_30D" dataDxfId="19">
      <calculatedColumnFormula>tbl_data[[#This Row],[Total_Amount_30D]]</calculatedColumnFormula>
    </tableColumn>
    <tableColumn id="7" xr3:uid="{C7CEC414-884C-4664-A154-757E8D1D97B0}" name="Avg_Tx_Count_6M" dataDxfId="18">
      <calculatedColumnFormula>tbl_data[[#This Row],[Avg_Tx_Count_6M]]</calculatedColumnFormula>
    </tableColumn>
    <tableColumn id="8" xr3:uid="{21541C66-ABF7-483A-8079-1EBA12E63EF1}" name="Avg_Total_Amount_6M" dataDxfId="17">
      <calculatedColumnFormula>tbl_data[[#This Row],[Avg_Total_Amount_6M]]</calculatedColumnFormula>
    </tableColumn>
    <tableColumn id="20" xr3:uid="{71A5205C-DFE7-44D4-B7BC-9B88711760A0}" name="Count_Deviation" dataDxfId="16">
      <calculatedColumnFormula>IFERROR(tbl_Data2[[#This Row],[Tx_Count_30D]]/tbl_Data2[[#This Row],[Avg_Tx_Count_6M]],0)</calculatedColumnFormula>
    </tableColumn>
    <tableColumn id="21" xr3:uid="{D98F3352-66AF-4A57-A487-9FB1935E5B21}" name="Amount_Deviation" dataDxfId="15">
      <calculatedColumnFormula>IFERROR(tbl_Data2[[#This Row],[Total_Amount_30D]]/tbl_Data2[[#This Row],[Avg_Total_Amount_6M]],0)</calculatedColumnFormula>
    </tableColumn>
    <tableColumn id="22" xr3:uid="{19901306-E779-4563-959F-A9C637A97A89}" name="Geo_Score" dataDxfId="14">
      <calculatedColumnFormula>_xlfn.XLOOKUP(tbl_Data2[[#This Row],[Country]], Geo_Map[Country], Geo_Map[Score], 5)</calculatedColumnFormula>
    </tableColumn>
    <tableColumn id="23" xr3:uid="{CF6375F8-1314-4545-BBF0-11B9BD3C5626}" name="Velocity_Score" dataDxfId="13">
      <calculatedColumnFormula array="1">_xlfn.IFS(tbl_Data2[[#This Row],[Tx_Count_30D]]&lt;=5,2,tbl_Data2[[#This Row],[Tx_Count_30D]]&lt;=15,5,tbl_Data2[[#This Row],[Tx_Count_30D]]&lt;=30,7,tbl_Data2[[#This Row],[Tx_Count_30D]]&gt;30,9)</calculatedColumnFormula>
    </tableColumn>
    <tableColumn id="9" xr3:uid="{74C855D8-F081-409B-80B2-5E71D19DDEFF}" name="Volume_Score" dataDxfId="12">
      <calculatedColumnFormula array="1">_xlfn.IFS(
tbl_Data2[[#This Row],[Total_Amount_30D]]&lt;10000,2,
tbl_Data2[[#This Row],[Total_Amount_30D]]&lt;25000,5,
tbl_Data2[[#This Row],[Total_Amount_30D]]&lt;50000,7,
tbl_Data2[[#This Row],[Total_Amount_30D]]&gt;=50000,9
)</calculatedColumnFormula>
    </tableColumn>
    <tableColumn id="10" xr3:uid="{0ACD482B-3C23-47B6-83D8-0BEF54C86ED0}" name="Deviation_Score" dataDxfId="11">
      <calculatedColumnFormula array="1">_xlfn.IFS(
tbl_Data2[[#This Row],[Amount_Deviation]]&lt;1.5,2,
tbl_Data2[[#This Row],[Amount_Deviation]]&lt;3,6,
tbl_Data2[[#This Row],[Amount_Deviation]]&lt;6,8,
tbl_Data2[[#This Row],[Amount_Deviation]]&gt;=6,10
)</calculatedColumnFormula>
    </tableColumn>
    <tableColumn id="11" xr3:uid="{836F3436-2E49-4513-A78F-B064029AB182}" name="Final_Risk_Score" dataDxfId="10">
      <calculatedColumnFormula>ROUND(
    (tbl_Data2[[#This Row],[Geo_Score]]*0.2) +
    (tbl_Data2[[#This Row],[Velocity_Score]]*0.25) +
    (tbl_Data2[[#This Row],[Volume_Score]]*0.25) +
    (tbl_Data2[[#This Row],[Deviation_Score]]*0.3),
1
)</calculatedColumnFormula>
    </tableColumn>
    <tableColumn id="12" xr3:uid="{34606ED1-DE75-45BD-93B8-23314E6D58F5}" name="Risk_Tier" dataDxfId="2">
      <calculatedColumnFormula array="1">_xlfn.IFS(
tbl_Data2[[#This Row],[Final_Risk_Score]]&lt;5.5,"Low",
tbl_Data2[[#This Row],[Final_Risk_Score]]&lt;7.5,"Medium",
tbl_Data2[[#This Row],[Final_Risk_Score]]&gt;=7.5,"High"
)</calculatedColumnFormula>
    </tableColumn>
    <tableColumn id="13" xr3:uid="{792C558A-FAFD-4827-A609-83D8501E9F5A}" name="Analyst_Recommendation" dataDxfId="9">
      <calculatedColumnFormula array="1">_xlfn.IFS(
tbl_Data2[[#This Row],[Risk_Tier]]="Low","Clear – No Further Action",
tbl_Data2[[#This Row],[Risk_Tier]]="Medium","Review Required (EDD)",
tbl_Data2[[#This Row],[Risk_Tier]]="High","Escalate for SAR Consideration"
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9D23FE-2945-4337-8368-DC3139BA3349}" name="Geo_Map" displayName="Geo_Map" ref="S2:T13" totalsRowShown="0" headerRowDxfId="8" dataDxfId="6" headerRowBorderDxfId="7" tableBorderDxfId="5">
  <autoFilter ref="S2:T13" xr:uid="{189D23FE-2945-4337-8368-DC3139BA3349}"/>
  <tableColumns count="2">
    <tableColumn id="1" xr3:uid="{2A8D0069-7FD6-44B7-B68E-EDF9204D98CB}" name="Country" dataDxfId="4"/>
    <tableColumn id="2" xr3:uid="{B861FD68-CE86-4CC7-BC30-87AAD4EF14C9}" name="Score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A8B20B-F089-41FB-BED8-AE8E4C5AFB77}" name="tbl_threshold" displayName="tbl_threshold" ref="A1:C301" totalsRowShown="0">
  <autoFilter ref="A1:C301" xr:uid="{22A8B20B-F089-41FB-BED8-AE8E4C5AFB77}"/>
  <tableColumns count="3">
    <tableColumn id="1" xr3:uid="{1EC070D6-2ACF-4663-B452-83BE1CE90545}" name="Customer_ID">
      <calculatedColumnFormula>tbl_Data2[[#This Row],[Customer_ID]]</calculatedColumnFormula>
    </tableColumn>
    <tableColumn id="2" xr3:uid="{CAD9E957-4B45-48CC-B6FC-A08F5E7714FF}" name="Final_Risk_Score" dataDxfId="1">
      <calculatedColumnFormula>tbl_Data2[[#This Row],[Final_Risk_Score]]</calculatedColumnFormula>
    </tableColumn>
    <tableColumn id="3" xr3:uid="{9FE5FDB9-6467-461A-BAB8-53F190ED2EFF}" name="Test_Risk_Tier" dataDxfId="0">
      <calculatedColumnFormula>IF(tbl_threshold[[#This Row],[Final_Risk_Score]]&gt;=$E$2,"High",
IF(tbl_threshold[[#This Row],[Final_Risk_Score]]&gt;=$E$3,"Medium","Low"))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workbookViewId="0">
      <pane ySplit="1" topLeftCell="A2" activePane="bottomLeft" state="frozen"/>
      <selection pane="bottomLeft" activeCell="F15" sqref="F15"/>
    </sheetView>
  </sheetViews>
  <sheetFormatPr defaultRowHeight="14.5"/>
  <cols>
    <col min="1" max="1" width="14.1796875" bestFit="1" customWidth="1"/>
    <col min="2" max="2" width="16.6328125" bestFit="1" customWidth="1"/>
    <col min="3" max="3" width="9.90625" bestFit="1" customWidth="1"/>
    <col min="4" max="4" width="13.36328125" bestFit="1" customWidth="1"/>
    <col min="5" max="5" width="15.453125" bestFit="1" customWidth="1"/>
    <col min="6" max="6" width="19.6328125" bestFit="1" customWidth="1"/>
    <col min="7" max="7" width="19.1796875" bestFit="1" customWidth="1"/>
    <col min="8" max="8" width="23.453125" bestFit="1" customWidth="1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309</v>
      </c>
      <c r="C2" t="s">
        <v>314</v>
      </c>
      <c r="D2" t="s">
        <v>317</v>
      </c>
      <c r="E2">
        <v>48</v>
      </c>
      <c r="F2">
        <v>78997</v>
      </c>
      <c r="G2">
        <v>17</v>
      </c>
      <c r="H2">
        <v>46486</v>
      </c>
    </row>
    <row r="3" spans="1:8">
      <c r="A3" t="s">
        <v>9</v>
      </c>
      <c r="B3" t="s">
        <v>309</v>
      </c>
      <c r="C3" t="s">
        <v>315</v>
      </c>
      <c r="D3" t="s">
        <v>318</v>
      </c>
      <c r="E3">
        <v>3</v>
      </c>
      <c r="F3">
        <v>115271</v>
      </c>
      <c r="G3">
        <v>1</v>
      </c>
      <c r="H3">
        <v>59956</v>
      </c>
    </row>
    <row r="4" spans="1:8">
      <c r="A4" t="s">
        <v>10</v>
      </c>
      <c r="B4" t="s">
        <v>308</v>
      </c>
      <c r="C4" t="s">
        <v>315</v>
      </c>
      <c r="D4" t="s">
        <v>317</v>
      </c>
      <c r="E4">
        <v>13</v>
      </c>
      <c r="F4">
        <v>63168</v>
      </c>
      <c r="G4">
        <v>19</v>
      </c>
      <c r="H4">
        <v>24369</v>
      </c>
    </row>
    <row r="5" spans="1:8">
      <c r="A5" t="s">
        <v>11</v>
      </c>
      <c r="B5" t="s">
        <v>308</v>
      </c>
      <c r="C5" t="s">
        <v>314</v>
      </c>
      <c r="D5" t="s">
        <v>319</v>
      </c>
      <c r="E5">
        <v>34</v>
      </c>
      <c r="F5">
        <v>88566</v>
      </c>
      <c r="G5">
        <v>35</v>
      </c>
      <c r="H5">
        <v>7769</v>
      </c>
    </row>
    <row r="6" spans="1:8">
      <c r="A6" t="s">
        <v>12</v>
      </c>
      <c r="B6" t="s">
        <v>309</v>
      </c>
      <c r="C6" t="s">
        <v>311</v>
      </c>
      <c r="D6" t="s">
        <v>320</v>
      </c>
      <c r="E6">
        <v>47</v>
      </c>
      <c r="F6">
        <v>79675</v>
      </c>
      <c r="G6">
        <v>1</v>
      </c>
      <c r="H6">
        <v>45642</v>
      </c>
    </row>
    <row r="7" spans="1:8">
      <c r="A7" t="s">
        <v>13</v>
      </c>
      <c r="B7" t="s">
        <v>308</v>
      </c>
      <c r="C7" t="s">
        <v>315</v>
      </c>
      <c r="D7" t="s">
        <v>321</v>
      </c>
      <c r="E7">
        <v>57</v>
      </c>
      <c r="F7">
        <v>46115</v>
      </c>
      <c r="G7">
        <v>24</v>
      </c>
      <c r="H7">
        <v>77006</v>
      </c>
    </row>
    <row r="8" spans="1:8">
      <c r="A8" t="s">
        <v>14</v>
      </c>
      <c r="B8" t="s">
        <v>309</v>
      </c>
      <c r="C8" t="s">
        <v>310</v>
      </c>
      <c r="D8" t="s">
        <v>320</v>
      </c>
      <c r="E8">
        <v>13</v>
      </c>
      <c r="F8">
        <v>19359</v>
      </c>
      <c r="G8">
        <v>31</v>
      </c>
      <c r="H8">
        <v>54582</v>
      </c>
    </row>
    <row r="9" spans="1:8">
      <c r="A9" t="s">
        <v>15</v>
      </c>
      <c r="B9" t="s">
        <v>308</v>
      </c>
      <c r="C9" t="s">
        <v>314</v>
      </c>
      <c r="D9" t="s">
        <v>318</v>
      </c>
      <c r="E9">
        <v>13</v>
      </c>
      <c r="F9">
        <v>81075</v>
      </c>
      <c r="G9">
        <v>27</v>
      </c>
      <c r="H9">
        <v>55501</v>
      </c>
    </row>
    <row r="10" spans="1:8">
      <c r="A10" t="s">
        <v>16</v>
      </c>
      <c r="B10" t="s">
        <v>308</v>
      </c>
      <c r="C10" t="s">
        <v>316</v>
      </c>
      <c r="D10" t="s">
        <v>317</v>
      </c>
      <c r="E10">
        <v>40</v>
      </c>
      <c r="F10">
        <v>42822</v>
      </c>
      <c r="G10">
        <v>24</v>
      </c>
      <c r="H10">
        <v>18612</v>
      </c>
    </row>
    <row r="11" spans="1:8">
      <c r="A11" t="s">
        <v>17</v>
      </c>
      <c r="B11" t="s">
        <v>309</v>
      </c>
      <c r="C11" t="s">
        <v>316</v>
      </c>
      <c r="D11" t="s">
        <v>318</v>
      </c>
      <c r="E11">
        <v>41</v>
      </c>
      <c r="F11">
        <v>32781</v>
      </c>
      <c r="G11">
        <v>31</v>
      </c>
      <c r="H11">
        <v>2709</v>
      </c>
    </row>
    <row r="12" spans="1:8">
      <c r="A12" t="s">
        <v>18</v>
      </c>
      <c r="B12" t="s">
        <v>308</v>
      </c>
      <c r="C12" t="s">
        <v>310</v>
      </c>
      <c r="D12" t="s">
        <v>320</v>
      </c>
      <c r="E12">
        <v>21</v>
      </c>
      <c r="F12">
        <v>9224</v>
      </c>
      <c r="G12">
        <v>11</v>
      </c>
      <c r="H12">
        <v>3631</v>
      </c>
    </row>
    <row r="13" spans="1:8">
      <c r="A13" t="s">
        <v>19</v>
      </c>
      <c r="B13" t="s">
        <v>308</v>
      </c>
      <c r="C13" t="s">
        <v>313</v>
      </c>
      <c r="D13" t="s">
        <v>318</v>
      </c>
      <c r="E13">
        <v>56</v>
      </c>
      <c r="F13">
        <v>112217</v>
      </c>
      <c r="G13">
        <v>31</v>
      </c>
      <c r="H13">
        <v>77750</v>
      </c>
    </row>
    <row r="14" spans="1:8">
      <c r="A14" t="s">
        <v>20</v>
      </c>
      <c r="B14" t="s">
        <v>308</v>
      </c>
      <c r="C14" t="s">
        <v>311</v>
      </c>
      <c r="D14" t="s">
        <v>322</v>
      </c>
      <c r="E14">
        <v>31</v>
      </c>
      <c r="F14">
        <v>42685</v>
      </c>
      <c r="G14">
        <v>1</v>
      </c>
      <c r="H14">
        <v>18764</v>
      </c>
    </row>
    <row r="15" spans="1:8">
      <c r="A15" t="s">
        <v>21</v>
      </c>
      <c r="B15" t="s">
        <v>309</v>
      </c>
      <c r="C15" t="s">
        <v>312</v>
      </c>
      <c r="D15" t="s">
        <v>320</v>
      </c>
      <c r="E15">
        <v>48</v>
      </c>
      <c r="F15">
        <v>104430</v>
      </c>
      <c r="G15">
        <v>27</v>
      </c>
      <c r="H15">
        <v>6192</v>
      </c>
    </row>
    <row r="16" spans="1:8">
      <c r="A16" t="s">
        <v>22</v>
      </c>
      <c r="B16" t="s">
        <v>309</v>
      </c>
      <c r="C16" t="s">
        <v>316</v>
      </c>
      <c r="D16" t="s">
        <v>321</v>
      </c>
      <c r="E16">
        <v>49</v>
      </c>
      <c r="F16">
        <v>73237</v>
      </c>
      <c r="G16">
        <v>36</v>
      </c>
      <c r="H16">
        <v>40739</v>
      </c>
    </row>
    <row r="17" spans="1:8">
      <c r="A17" t="s">
        <v>23</v>
      </c>
      <c r="B17" t="s">
        <v>308</v>
      </c>
      <c r="C17" t="s">
        <v>316</v>
      </c>
      <c r="D17" t="s">
        <v>322</v>
      </c>
      <c r="E17">
        <v>54</v>
      </c>
      <c r="F17">
        <v>63111</v>
      </c>
      <c r="G17">
        <v>33</v>
      </c>
      <c r="H17">
        <v>3588</v>
      </c>
    </row>
    <row r="18" spans="1:8">
      <c r="A18" t="s">
        <v>24</v>
      </c>
      <c r="B18" t="s">
        <v>308</v>
      </c>
      <c r="C18" t="s">
        <v>315</v>
      </c>
      <c r="D18" t="s">
        <v>322</v>
      </c>
      <c r="E18">
        <v>5</v>
      </c>
      <c r="F18">
        <v>13248</v>
      </c>
      <c r="G18">
        <v>39</v>
      </c>
      <c r="H18">
        <v>25733</v>
      </c>
    </row>
    <row r="19" spans="1:8">
      <c r="A19" t="s">
        <v>25</v>
      </c>
      <c r="B19" t="s">
        <v>309</v>
      </c>
      <c r="C19" t="s">
        <v>315</v>
      </c>
      <c r="D19" t="s">
        <v>320</v>
      </c>
      <c r="E19">
        <v>13</v>
      </c>
      <c r="F19">
        <v>80266</v>
      </c>
      <c r="G19">
        <v>40</v>
      </c>
      <c r="H19">
        <v>34876</v>
      </c>
    </row>
    <row r="20" spans="1:8">
      <c r="A20" t="s">
        <v>26</v>
      </c>
      <c r="B20" t="s">
        <v>308</v>
      </c>
      <c r="C20" t="s">
        <v>316</v>
      </c>
      <c r="D20" t="s">
        <v>322</v>
      </c>
      <c r="E20">
        <v>52</v>
      </c>
      <c r="F20">
        <v>107924</v>
      </c>
      <c r="G20">
        <v>25</v>
      </c>
      <c r="H20">
        <v>41344</v>
      </c>
    </row>
    <row r="21" spans="1:8">
      <c r="A21" t="s">
        <v>27</v>
      </c>
      <c r="B21" t="s">
        <v>308</v>
      </c>
      <c r="C21" t="s">
        <v>316</v>
      </c>
      <c r="D21" t="s">
        <v>322</v>
      </c>
      <c r="E21">
        <v>28</v>
      </c>
      <c r="F21">
        <v>116911</v>
      </c>
      <c r="G21">
        <v>21</v>
      </c>
      <c r="H21">
        <v>36463</v>
      </c>
    </row>
    <row r="22" spans="1:8">
      <c r="A22" t="s">
        <v>28</v>
      </c>
      <c r="B22" t="s">
        <v>308</v>
      </c>
      <c r="C22" t="s">
        <v>315</v>
      </c>
      <c r="D22" t="s">
        <v>322</v>
      </c>
      <c r="E22">
        <v>25</v>
      </c>
      <c r="F22">
        <v>47032</v>
      </c>
      <c r="G22">
        <v>6</v>
      </c>
      <c r="H22">
        <v>40954</v>
      </c>
    </row>
    <row r="23" spans="1:8">
      <c r="A23" t="s">
        <v>29</v>
      </c>
      <c r="B23" t="s">
        <v>308</v>
      </c>
      <c r="C23" t="s">
        <v>316</v>
      </c>
      <c r="D23" t="s">
        <v>322</v>
      </c>
      <c r="E23">
        <v>41</v>
      </c>
      <c r="F23">
        <v>28247</v>
      </c>
      <c r="G23">
        <v>16</v>
      </c>
      <c r="H23">
        <v>13723</v>
      </c>
    </row>
    <row r="24" spans="1:8">
      <c r="A24" t="s">
        <v>30</v>
      </c>
      <c r="B24" t="s">
        <v>308</v>
      </c>
      <c r="C24" t="s">
        <v>313</v>
      </c>
      <c r="D24" t="s">
        <v>317</v>
      </c>
      <c r="E24">
        <v>19</v>
      </c>
      <c r="F24">
        <v>7715</v>
      </c>
      <c r="G24">
        <v>10</v>
      </c>
      <c r="H24">
        <v>3066</v>
      </c>
    </row>
    <row r="25" spans="1:8">
      <c r="A25" t="s">
        <v>31</v>
      </c>
      <c r="B25" t="s">
        <v>308</v>
      </c>
      <c r="C25" t="s">
        <v>313</v>
      </c>
      <c r="D25" t="s">
        <v>322</v>
      </c>
      <c r="E25">
        <v>21</v>
      </c>
      <c r="F25">
        <v>106000</v>
      </c>
      <c r="G25">
        <v>33</v>
      </c>
      <c r="H25">
        <v>44539</v>
      </c>
    </row>
    <row r="26" spans="1:8">
      <c r="A26" t="s">
        <v>32</v>
      </c>
      <c r="B26" t="s">
        <v>309</v>
      </c>
      <c r="C26" t="s">
        <v>311</v>
      </c>
      <c r="D26" t="s">
        <v>320</v>
      </c>
      <c r="E26">
        <v>48</v>
      </c>
      <c r="F26">
        <v>54742</v>
      </c>
      <c r="G26">
        <v>29</v>
      </c>
      <c r="H26">
        <v>36977</v>
      </c>
    </row>
    <row r="27" spans="1:8">
      <c r="A27" t="s">
        <v>33</v>
      </c>
      <c r="B27" t="s">
        <v>309</v>
      </c>
      <c r="C27" t="s">
        <v>312</v>
      </c>
      <c r="D27" t="s">
        <v>320</v>
      </c>
      <c r="E27">
        <v>6</v>
      </c>
      <c r="F27">
        <v>27692</v>
      </c>
      <c r="G27">
        <v>2</v>
      </c>
      <c r="H27">
        <v>13855</v>
      </c>
    </row>
    <row r="28" spans="1:8">
      <c r="A28" t="s">
        <v>34</v>
      </c>
      <c r="B28" t="s">
        <v>309</v>
      </c>
      <c r="C28" t="s">
        <v>311</v>
      </c>
      <c r="D28" t="s">
        <v>321</v>
      </c>
      <c r="E28">
        <v>22</v>
      </c>
      <c r="F28">
        <v>63575</v>
      </c>
      <c r="G28">
        <v>16</v>
      </c>
      <c r="H28">
        <v>44177</v>
      </c>
    </row>
    <row r="29" spans="1:8">
      <c r="A29" t="s">
        <v>35</v>
      </c>
      <c r="B29" t="s">
        <v>308</v>
      </c>
      <c r="C29" t="s">
        <v>313</v>
      </c>
      <c r="D29" t="s">
        <v>319</v>
      </c>
      <c r="E29">
        <v>41</v>
      </c>
      <c r="F29">
        <v>105019</v>
      </c>
      <c r="G29">
        <v>39</v>
      </c>
      <c r="H29">
        <v>22113</v>
      </c>
    </row>
    <row r="30" spans="1:8">
      <c r="A30" t="s">
        <v>36</v>
      </c>
      <c r="B30" t="s">
        <v>308</v>
      </c>
      <c r="C30" t="s">
        <v>314</v>
      </c>
      <c r="D30" t="s">
        <v>318</v>
      </c>
      <c r="E30">
        <v>22</v>
      </c>
      <c r="F30">
        <v>94961</v>
      </c>
      <c r="G30">
        <v>7</v>
      </c>
      <c r="H30">
        <v>53965</v>
      </c>
    </row>
    <row r="31" spans="1:8">
      <c r="A31" t="s">
        <v>37</v>
      </c>
      <c r="B31" t="s">
        <v>308</v>
      </c>
      <c r="C31" t="s">
        <v>313</v>
      </c>
      <c r="D31" t="s">
        <v>320</v>
      </c>
      <c r="E31">
        <v>8</v>
      </c>
      <c r="F31">
        <v>15648</v>
      </c>
      <c r="G31">
        <v>3</v>
      </c>
      <c r="H31">
        <v>6270</v>
      </c>
    </row>
    <row r="32" spans="1:8">
      <c r="A32" t="s">
        <v>38</v>
      </c>
      <c r="B32" t="s">
        <v>308</v>
      </c>
      <c r="C32" t="s">
        <v>313</v>
      </c>
      <c r="D32" t="s">
        <v>322</v>
      </c>
      <c r="E32">
        <v>34</v>
      </c>
      <c r="F32">
        <v>5194</v>
      </c>
      <c r="G32">
        <v>32</v>
      </c>
      <c r="H32">
        <v>46812</v>
      </c>
    </row>
    <row r="33" spans="1:8">
      <c r="A33" t="s">
        <v>39</v>
      </c>
      <c r="B33" t="s">
        <v>308</v>
      </c>
      <c r="C33" t="s">
        <v>312</v>
      </c>
      <c r="D33" t="s">
        <v>317</v>
      </c>
      <c r="E33">
        <v>31</v>
      </c>
      <c r="F33">
        <v>107297</v>
      </c>
      <c r="G33">
        <v>29</v>
      </c>
      <c r="H33">
        <v>38110</v>
      </c>
    </row>
    <row r="34" spans="1:8">
      <c r="A34" t="s">
        <v>40</v>
      </c>
      <c r="B34" t="s">
        <v>308</v>
      </c>
      <c r="C34" t="s">
        <v>314</v>
      </c>
      <c r="D34" t="s">
        <v>317</v>
      </c>
      <c r="E34">
        <v>52</v>
      </c>
      <c r="F34">
        <v>9805</v>
      </c>
      <c r="G34">
        <v>9</v>
      </c>
      <c r="H34">
        <v>65380</v>
      </c>
    </row>
    <row r="35" spans="1:8">
      <c r="A35" t="s">
        <v>41</v>
      </c>
      <c r="B35" t="s">
        <v>309</v>
      </c>
      <c r="C35" t="s">
        <v>313</v>
      </c>
      <c r="D35" t="s">
        <v>321</v>
      </c>
      <c r="E35">
        <v>56</v>
      </c>
      <c r="F35">
        <v>119756</v>
      </c>
      <c r="G35">
        <v>13</v>
      </c>
      <c r="H35">
        <v>45869</v>
      </c>
    </row>
    <row r="36" spans="1:8">
      <c r="A36" t="s">
        <v>42</v>
      </c>
      <c r="B36" t="s">
        <v>308</v>
      </c>
      <c r="C36" t="s">
        <v>314</v>
      </c>
      <c r="D36" t="s">
        <v>319</v>
      </c>
      <c r="E36">
        <v>44</v>
      </c>
      <c r="F36">
        <v>12647</v>
      </c>
      <c r="G36">
        <v>5</v>
      </c>
      <c r="H36">
        <v>37706</v>
      </c>
    </row>
    <row r="37" spans="1:8">
      <c r="A37" t="s">
        <v>43</v>
      </c>
      <c r="B37" t="s">
        <v>309</v>
      </c>
      <c r="C37" t="s">
        <v>316</v>
      </c>
      <c r="D37" t="s">
        <v>317</v>
      </c>
      <c r="E37">
        <v>11</v>
      </c>
      <c r="F37">
        <v>82857</v>
      </c>
      <c r="G37">
        <v>22</v>
      </c>
      <c r="H37">
        <v>20850</v>
      </c>
    </row>
    <row r="38" spans="1:8">
      <c r="A38" t="s">
        <v>44</v>
      </c>
      <c r="B38" t="s">
        <v>308</v>
      </c>
      <c r="C38" t="s">
        <v>316</v>
      </c>
      <c r="D38" t="s">
        <v>321</v>
      </c>
      <c r="E38">
        <v>60</v>
      </c>
      <c r="F38">
        <v>111928</v>
      </c>
      <c r="G38">
        <v>21</v>
      </c>
      <c r="H38">
        <v>53843</v>
      </c>
    </row>
    <row r="39" spans="1:8">
      <c r="A39" t="s">
        <v>45</v>
      </c>
      <c r="B39" t="s">
        <v>308</v>
      </c>
      <c r="C39" t="s">
        <v>315</v>
      </c>
      <c r="D39" t="s">
        <v>322</v>
      </c>
      <c r="E39">
        <v>3</v>
      </c>
      <c r="F39">
        <v>20019</v>
      </c>
      <c r="G39">
        <v>29</v>
      </c>
      <c r="H39">
        <v>29701</v>
      </c>
    </row>
    <row r="40" spans="1:8">
      <c r="A40" t="s">
        <v>46</v>
      </c>
      <c r="B40" t="s">
        <v>308</v>
      </c>
      <c r="C40" t="s">
        <v>311</v>
      </c>
      <c r="D40" t="s">
        <v>318</v>
      </c>
      <c r="E40">
        <v>31</v>
      </c>
      <c r="F40">
        <v>25459</v>
      </c>
      <c r="G40">
        <v>36</v>
      </c>
      <c r="H40">
        <v>18087</v>
      </c>
    </row>
    <row r="41" spans="1:8">
      <c r="A41" t="s">
        <v>47</v>
      </c>
      <c r="B41" t="s">
        <v>308</v>
      </c>
      <c r="C41" t="s">
        <v>311</v>
      </c>
      <c r="D41" t="s">
        <v>320</v>
      </c>
      <c r="E41">
        <v>35</v>
      </c>
      <c r="F41">
        <v>43282</v>
      </c>
      <c r="G41">
        <v>16</v>
      </c>
      <c r="H41">
        <v>17025</v>
      </c>
    </row>
    <row r="42" spans="1:8">
      <c r="A42" t="s">
        <v>48</v>
      </c>
      <c r="B42" t="s">
        <v>308</v>
      </c>
      <c r="C42" t="s">
        <v>312</v>
      </c>
      <c r="D42" t="s">
        <v>320</v>
      </c>
      <c r="E42">
        <v>43</v>
      </c>
      <c r="F42">
        <v>13647</v>
      </c>
      <c r="G42">
        <v>26</v>
      </c>
      <c r="H42">
        <v>64742</v>
      </c>
    </row>
    <row r="43" spans="1:8">
      <c r="A43" t="s">
        <v>49</v>
      </c>
      <c r="B43" t="s">
        <v>308</v>
      </c>
      <c r="C43" t="s">
        <v>310</v>
      </c>
      <c r="D43" t="s">
        <v>321</v>
      </c>
      <c r="E43">
        <v>7</v>
      </c>
      <c r="F43">
        <v>77319</v>
      </c>
      <c r="G43">
        <v>11</v>
      </c>
      <c r="H43">
        <v>12517</v>
      </c>
    </row>
    <row r="44" spans="1:8">
      <c r="A44" t="s">
        <v>50</v>
      </c>
      <c r="B44" t="s">
        <v>308</v>
      </c>
      <c r="C44" t="s">
        <v>315</v>
      </c>
      <c r="D44" t="s">
        <v>318</v>
      </c>
      <c r="E44">
        <v>43</v>
      </c>
      <c r="F44">
        <v>95085</v>
      </c>
      <c r="G44">
        <v>33</v>
      </c>
      <c r="H44">
        <v>18347</v>
      </c>
    </row>
    <row r="45" spans="1:8">
      <c r="A45" t="s">
        <v>51</v>
      </c>
      <c r="B45" t="s">
        <v>308</v>
      </c>
      <c r="C45" t="s">
        <v>313</v>
      </c>
      <c r="D45" t="s">
        <v>320</v>
      </c>
      <c r="E45">
        <v>52</v>
      </c>
      <c r="F45">
        <v>85401</v>
      </c>
      <c r="G45">
        <v>8</v>
      </c>
      <c r="H45">
        <v>74153</v>
      </c>
    </row>
    <row r="46" spans="1:8">
      <c r="A46" t="s">
        <v>52</v>
      </c>
      <c r="B46" t="s">
        <v>308</v>
      </c>
      <c r="C46" t="s">
        <v>311</v>
      </c>
      <c r="D46" t="s">
        <v>319</v>
      </c>
      <c r="E46">
        <v>25</v>
      </c>
      <c r="F46">
        <v>6619</v>
      </c>
      <c r="G46">
        <v>9</v>
      </c>
      <c r="H46">
        <v>3214</v>
      </c>
    </row>
    <row r="47" spans="1:8">
      <c r="A47" t="s">
        <v>53</v>
      </c>
      <c r="B47" t="s">
        <v>308</v>
      </c>
      <c r="C47" t="s">
        <v>316</v>
      </c>
      <c r="D47" t="s">
        <v>322</v>
      </c>
      <c r="E47">
        <v>50</v>
      </c>
      <c r="F47">
        <v>30522</v>
      </c>
      <c r="G47">
        <v>20</v>
      </c>
      <c r="H47">
        <v>67189</v>
      </c>
    </row>
    <row r="48" spans="1:8">
      <c r="A48" t="s">
        <v>54</v>
      </c>
      <c r="B48" t="s">
        <v>308</v>
      </c>
      <c r="C48" t="s">
        <v>312</v>
      </c>
      <c r="D48" t="s">
        <v>317</v>
      </c>
      <c r="E48">
        <v>39</v>
      </c>
      <c r="F48">
        <v>28977</v>
      </c>
      <c r="G48">
        <v>9</v>
      </c>
      <c r="H48">
        <v>8708</v>
      </c>
    </row>
    <row r="49" spans="1:8">
      <c r="A49" t="s">
        <v>55</v>
      </c>
      <c r="B49" t="s">
        <v>308</v>
      </c>
      <c r="C49" t="s">
        <v>315</v>
      </c>
      <c r="D49" t="s">
        <v>319</v>
      </c>
      <c r="E49">
        <v>15</v>
      </c>
      <c r="F49">
        <v>62634</v>
      </c>
      <c r="G49">
        <v>27</v>
      </c>
      <c r="H49">
        <v>15536</v>
      </c>
    </row>
    <row r="50" spans="1:8">
      <c r="A50" t="s">
        <v>56</v>
      </c>
      <c r="B50" t="s">
        <v>308</v>
      </c>
      <c r="C50" t="s">
        <v>316</v>
      </c>
      <c r="D50" t="s">
        <v>320</v>
      </c>
      <c r="E50">
        <v>4</v>
      </c>
      <c r="F50">
        <v>116801</v>
      </c>
      <c r="G50">
        <v>12</v>
      </c>
      <c r="H50">
        <v>49158</v>
      </c>
    </row>
    <row r="51" spans="1:8">
      <c r="A51" t="s">
        <v>57</v>
      </c>
      <c r="B51" t="s">
        <v>308</v>
      </c>
      <c r="C51" t="s">
        <v>312</v>
      </c>
      <c r="D51" t="s">
        <v>317</v>
      </c>
      <c r="E51">
        <v>2</v>
      </c>
      <c r="F51">
        <v>109044</v>
      </c>
      <c r="G51">
        <v>27</v>
      </c>
      <c r="H51">
        <v>29734</v>
      </c>
    </row>
    <row r="52" spans="1:8">
      <c r="A52" t="s">
        <v>58</v>
      </c>
      <c r="B52" t="s">
        <v>308</v>
      </c>
      <c r="C52" t="s">
        <v>316</v>
      </c>
      <c r="D52" t="s">
        <v>317</v>
      </c>
      <c r="E52">
        <v>33</v>
      </c>
      <c r="F52">
        <v>4665</v>
      </c>
      <c r="G52">
        <v>28</v>
      </c>
      <c r="H52">
        <v>62935</v>
      </c>
    </row>
    <row r="53" spans="1:8">
      <c r="A53" t="s">
        <v>59</v>
      </c>
      <c r="B53" t="s">
        <v>308</v>
      </c>
      <c r="C53" t="s">
        <v>310</v>
      </c>
      <c r="D53" t="s">
        <v>320</v>
      </c>
      <c r="E53">
        <v>7</v>
      </c>
      <c r="F53">
        <v>92999</v>
      </c>
      <c r="G53">
        <v>27</v>
      </c>
      <c r="H53">
        <v>13221</v>
      </c>
    </row>
    <row r="54" spans="1:8">
      <c r="A54" t="s">
        <v>60</v>
      </c>
      <c r="B54" t="s">
        <v>308</v>
      </c>
      <c r="C54" t="s">
        <v>311</v>
      </c>
      <c r="D54" t="s">
        <v>321</v>
      </c>
      <c r="E54">
        <v>17</v>
      </c>
      <c r="F54">
        <v>57952</v>
      </c>
      <c r="G54">
        <v>5</v>
      </c>
      <c r="H54">
        <v>29976</v>
      </c>
    </row>
    <row r="55" spans="1:8">
      <c r="A55" t="s">
        <v>61</v>
      </c>
      <c r="B55" t="s">
        <v>308</v>
      </c>
      <c r="C55" t="s">
        <v>310</v>
      </c>
      <c r="D55" t="s">
        <v>319</v>
      </c>
      <c r="E55">
        <v>3</v>
      </c>
      <c r="F55">
        <v>36891</v>
      </c>
      <c r="G55">
        <v>14</v>
      </c>
      <c r="H55">
        <v>13782</v>
      </c>
    </row>
    <row r="56" spans="1:8">
      <c r="A56" t="s">
        <v>62</v>
      </c>
      <c r="B56" t="s">
        <v>308</v>
      </c>
      <c r="C56" t="s">
        <v>312</v>
      </c>
      <c r="D56" t="s">
        <v>320</v>
      </c>
      <c r="E56">
        <v>3</v>
      </c>
      <c r="F56">
        <v>35014</v>
      </c>
      <c r="G56">
        <v>20</v>
      </c>
      <c r="H56">
        <v>24320</v>
      </c>
    </row>
    <row r="57" spans="1:8">
      <c r="A57" t="s">
        <v>63</v>
      </c>
      <c r="B57" t="s">
        <v>308</v>
      </c>
      <c r="C57" t="s">
        <v>315</v>
      </c>
      <c r="D57" t="s">
        <v>319</v>
      </c>
      <c r="E57">
        <v>31</v>
      </c>
      <c r="F57">
        <v>82837</v>
      </c>
      <c r="G57">
        <v>38</v>
      </c>
      <c r="H57">
        <v>37599</v>
      </c>
    </row>
    <row r="58" spans="1:8">
      <c r="A58" t="s">
        <v>64</v>
      </c>
      <c r="B58" t="s">
        <v>308</v>
      </c>
      <c r="C58" t="s">
        <v>311</v>
      </c>
      <c r="D58" t="s">
        <v>321</v>
      </c>
      <c r="E58">
        <v>2</v>
      </c>
      <c r="F58">
        <v>15229</v>
      </c>
      <c r="G58">
        <v>13</v>
      </c>
      <c r="H58">
        <v>12266</v>
      </c>
    </row>
    <row r="59" spans="1:8">
      <c r="A59" t="s">
        <v>65</v>
      </c>
      <c r="B59" t="s">
        <v>308</v>
      </c>
      <c r="C59" t="s">
        <v>311</v>
      </c>
      <c r="D59" t="s">
        <v>321</v>
      </c>
      <c r="E59">
        <v>56</v>
      </c>
      <c r="F59">
        <v>105530</v>
      </c>
      <c r="G59">
        <v>7</v>
      </c>
      <c r="H59">
        <v>47229</v>
      </c>
    </row>
    <row r="60" spans="1:8">
      <c r="A60" t="s">
        <v>66</v>
      </c>
      <c r="B60" t="s">
        <v>308</v>
      </c>
      <c r="C60" t="s">
        <v>310</v>
      </c>
      <c r="D60" t="s">
        <v>317</v>
      </c>
      <c r="E60">
        <v>24</v>
      </c>
      <c r="F60">
        <v>5680</v>
      </c>
      <c r="G60">
        <v>20</v>
      </c>
      <c r="H60">
        <v>51161</v>
      </c>
    </row>
    <row r="61" spans="1:8">
      <c r="A61" t="s">
        <v>67</v>
      </c>
      <c r="B61" t="s">
        <v>308</v>
      </c>
      <c r="C61" t="s">
        <v>315</v>
      </c>
      <c r="D61" t="s">
        <v>318</v>
      </c>
      <c r="E61">
        <v>27</v>
      </c>
      <c r="F61">
        <v>34937</v>
      </c>
      <c r="G61">
        <v>27</v>
      </c>
      <c r="H61">
        <v>55760</v>
      </c>
    </row>
    <row r="62" spans="1:8">
      <c r="A62" t="s">
        <v>68</v>
      </c>
      <c r="B62" t="s">
        <v>308</v>
      </c>
      <c r="C62" t="s">
        <v>315</v>
      </c>
      <c r="D62" t="s">
        <v>317</v>
      </c>
      <c r="E62">
        <v>8</v>
      </c>
      <c r="F62">
        <v>3118</v>
      </c>
      <c r="G62">
        <v>4</v>
      </c>
      <c r="H62">
        <v>1453</v>
      </c>
    </row>
    <row r="63" spans="1:8">
      <c r="A63" t="s">
        <v>69</v>
      </c>
      <c r="B63" t="s">
        <v>309</v>
      </c>
      <c r="C63" t="s">
        <v>312</v>
      </c>
      <c r="D63" t="s">
        <v>320</v>
      </c>
      <c r="E63">
        <v>30</v>
      </c>
      <c r="F63">
        <v>47277</v>
      </c>
      <c r="G63">
        <v>5</v>
      </c>
      <c r="H63">
        <v>11152</v>
      </c>
    </row>
    <row r="64" spans="1:8">
      <c r="A64" t="s">
        <v>70</v>
      </c>
      <c r="B64" t="s">
        <v>308</v>
      </c>
      <c r="C64" t="s">
        <v>312</v>
      </c>
      <c r="D64" t="s">
        <v>322</v>
      </c>
      <c r="E64">
        <v>55</v>
      </c>
      <c r="F64">
        <v>3422</v>
      </c>
      <c r="G64">
        <v>7</v>
      </c>
      <c r="H64">
        <v>4516</v>
      </c>
    </row>
    <row r="65" spans="1:8">
      <c r="A65" t="s">
        <v>71</v>
      </c>
      <c r="B65" t="s">
        <v>308</v>
      </c>
      <c r="C65" t="s">
        <v>312</v>
      </c>
      <c r="D65" t="s">
        <v>317</v>
      </c>
      <c r="E65">
        <v>45</v>
      </c>
      <c r="F65">
        <v>113661</v>
      </c>
      <c r="G65">
        <v>8</v>
      </c>
      <c r="H65">
        <v>27428</v>
      </c>
    </row>
    <row r="66" spans="1:8">
      <c r="A66" t="s">
        <v>72</v>
      </c>
      <c r="B66" t="s">
        <v>308</v>
      </c>
      <c r="C66" t="s">
        <v>314</v>
      </c>
      <c r="D66" t="s">
        <v>322</v>
      </c>
      <c r="E66">
        <v>22</v>
      </c>
      <c r="F66">
        <v>85235</v>
      </c>
      <c r="G66">
        <v>32</v>
      </c>
      <c r="H66">
        <v>33180</v>
      </c>
    </row>
    <row r="67" spans="1:8">
      <c r="A67" t="s">
        <v>73</v>
      </c>
      <c r="B67" t="s">
        <v>308</v>
      </c>
      <c r="C67" t="s">
        <v>310</v>
      </c>
      <c r="D67" t="s">
        <v>319</v>
      </c>
      <c r="E67">
        <v>56</v>
      </c>
      <c r="F67">
        <v>43175</v>
      </c>
      <c r="G67">
        <v>8</v>
      </c>
      <c r="H67">
        <v>48303</v>
      </c>
    </row>
    <row r="68" spans="1:8">
      <c r="A68" t="s">
        <v>74</v>
      </c>
      <c r="B68" t="s">
        <v>308</v>
      </c>
      <c r="C68" t="s">
        <v>316</v>
      </c>
      <c r="D68" t="s">
        <v>318</v>
      </c>
      <c r="E68">
        <v>11</v>
      </c>
      <c r="F68">
        <v>83298</v>
      </c>
      <c r="G68">
        <v>4</v>
      </c>
      <c r="H68">
        <v>33214</v>
      </c>
    </row>
    <row r="69" spans="1:8">
      <c r="A69" t="s">
        <v>75</v>
      </c>
      <c r="B69" t="s">
        <v>308</v>
      </c>
      <c r="C69" t="s">
        <v>316</v>
      </c>
      <c r="D69" t="s">
        <v>321</v>
      </c>
      <c r="E69">
        <v>58</v>
      </c>
      <c r="F69">
        <v>92704</v>
      </c>
      <c r="G69">
        <v>30</v>
      </c>
      <c r="H69">
        <v>34925</v>
      </c>
    </row>
    <row r="70" spans="1:8">
      <c r="A70" t="s">
        <v>76</v>
      </c>
      <c r="B70" t="s">
        <v>308</v>
      </c>
      <c r="C70" t="s">
        <v>316</v>
      </c>
      <c r="D70" t="s">
        <v>321</v>
      </c>
      <c r="E70">
        <v>46</v>
      </c>
      <c r="F70">
        <v>2708</v>
      </c>
      <c r="G70">
        <v>27</v>
      </c>
      <c r="H70">
        <v>1473</v>
      </c>
    </row>
    <row r="71" spans="1:8">
      <c r="A71" t="s">
        <v>77</v>
      </c>
      <c r="B71" t="s">
        <v>308</v>
      </c>
      <c r="C71" t="s">
        <v>312</v>
      </c>
      <c r="D71" t="s">
        <v>320</v>
      </c>
      <c r="E71">
        <v>20</v>
      </c>
      <c r="F71">
        <v>29522</v>
      </c>
      <c r="G71">
        <v>9</v>
      </c>
      <c r="H71">
        <v>44463</v>
      </c>
    </row>
    <row r="72" spans="1:8">
      <c r="A72" t="s">
        <v>78</v>
      </c>
      <c r="B72" t="s">
        <v>308</v>
      </c>
      <c r="C72" t="s">
        <v>312</v>
      </c>
      <c r="D72" t="s">
        <v>319</v>
      </c>
      <c r="E72">
        <v>28</v>
      </c>
      <c r="F72">
        <v>31252</v>
      </c>
      <c r="G72">
        <v>34</v>
      </c>
      <c r="H72">
        <v>29135</v>
      </c>
    </row>
    <row r="73" spans="1:8">
      <c r="A73" t="s">
        <v>79</v>
      </c>
      <c r="B73" t="s">
        <v>308</v>
      </c>
      <c r="C73" t="s">
        <v>313</v>
      </c>
      <c r="D73" t="s">
        <v>321</v>
      </c>
      <c r="E73">
        <v>53</v>
      </c>
      <c r="F73">
        <v>23871</v>
      </c>
      <c r="G73">
        <v>16</v>
      </c>
      <c r="H73">
        <v>69201</v>
      </c>
    </row>
    <row r="74" spans="1:8">
      <c r="A74" t="s">
        <v>80</v>
      </c>
      <c r="B74" t="s">
        <v>308</v>
      </c>
      <c r="C74" t="s">
        <v>315</v>
      </c>
      <c r="D74" t="s">
        <v>317</v>
      </c>
      <c r="E74">
        <v>43</v>
      </c>
      <c r="F74">
        <v>57408</v>
      </c>
      <c r="G74">
        <v>4</v>
      </c>
      <c r="H74">
        <v>29903</v>
      </c>
    </row>
    <row r="75" spans="1:8">
      <c r="A75" t="s">
        <v>81</v>
      </c>
      <c r="B75" t="s">
        <v>308</v>
      </c>
      <c r="C75" t="s">
        <v>316</v>
      </c>
      <c r="D75" t="s">
        <v>321</v>
      </c>
      <c r="E75">
        <v>60</v>
      </c>
      <c r="F75">
        <v>59615</v>
      </c>
      <c r="G75">
        <v>20</v>
      </c>
      <c r="H75">
        <v>50884</v>
      </c>
    </row>
    <row r="76" spans="1:8">
      <c r="A76" t="s">
        <v>82</v>
      </c>
      <c r="B76" t="s">
        <v>308</v>
      </c>
      <c r="C76" t="s">
        <v>310</v>
      </c>
      <c r="D76" t="s">
        <v>320</v>
      </c>
      <c r="E76">
        <v>57</v>
      </c>
      <c r="F76">
        <v>103574</v>
      </c>
      <c r="G76">
        <v>24</v>
      </c>
      <c r="H76">
        <v>44228</v>
      </c>
    </row>
    <row r="77" spans="1:8">
      <c r="A77" t="s">
        <v>83</v>
      </c>
      <c r="B77" t="s">
        <v>308</v>
      </c>
      <c r="C77" t="s">
        <v>312</v>
      </c>
      <c r="D77" t="s">
        <v>322</v>
      </c>
      <c r="E77">
        <v>5</v>
      </c>
      <c r="F77">
        <v>88047</v>
      </c>
      <c r="G77">
        <v>21</v>
      </c>
      <c r="H77">
        <v>53569</v>
      </c>
    </row>
    <row r="78" spans="1:8">
      <c r="A78" t="s">
        <v>84</v>
      </c>
      <c r="B78" t="s">
        <v>308</v>
      </c>
      <c r="C78" t="s">
        <v>311</v>
      </c>
      <c r="D78" t="s">
        <v>320</v>
      </c>
      <c r="E78">
        <v>18</v>
      </c>
      <c r="F78">
        <v>115967</v>
      </c>
      <c r="G78">
        <v>6</v>
      </c>
      <c r="H78">
        <v>67471</v>
      </c>
    </row>
    <row r="79" spans="1:8">
      <c r="A79" t="s">
        <v>85</v>
      </c>
      <c r="B79" t="s">
        <v>308</v>
      </c>
      <c r="C79" t="s">
        <v>312</v>
      </c>
      <c r="D79" t="s">
        <v>321</v>
      </c>
      <c r="E79">
        <v>3</v>
      </c>
      <c r="F79">
        <v>114441</v>
      </c>
      <c r="G79">
        <v>24</v>
      </c>
      <c r="H79">
        <v>68838</v>
      </c>
    </row>
    <row r="80" spans="1:8">
      <c r="A80" t="s">
        <v>86</v>
      </c>
      <c r="B80" t="s">
        <v>308</v>
      </c>
      <c r="C80" t="s">
        <v>314</v>
      </c>
      <c r="D80" t="s">
        <v>317</v>
      </c>
      <c r="E80">
        <v>41</v>
      </c>
      <c r="F80">
        <v>88364</v>
      </c>
      <c r="G80">
        <v>36</v>
      </c>
      <c r="H80">
        <v>45909</v>
      </c>
    </row>
    <row r="81" spans="1:8">
      <c r="A81" t="s">
        <v>87</v>
      </c>
      <c r="B81" t="s">
        <v>308</v>
      </c>
      <c r="C81" t="s">
        <v>314</v>
      </c>
      <c r="D81" t="s">
        <v>319</v>
      </c>
      <c r="E81">
        <v>57</v>
      </c>
      <c r="F81">
        <v>96515</v>
      </c>
      <c r="G81">
        <v>21</v>
      </c>
      <c r="H81">
        <v>55620</v>
      </c>
    </row>
    <row r="82" spans="1:8">
      <c r="A82" t="s">
        <v>88</v>
      </c>
      <c r="B82" t="s">
        <v>308</v>
      </c>
      <c r="C82" t="s">
        <v>313</v>
      </c>
      <c r="D82" t="s">
        <v>317</v>
      </c>
      <c r="E82">
        <v>49</v>
      </c>
      <c r="F82">
        <v>93151</v>
      </c>
      <c r="G82">
        <v>28</v>
      </c>
      <c r="H82">
        <v>44498</v>
      </c>
    </row>
    <row r="83" spans="1:8">
      <c r="A83" t="s">
        <v>89</v>
      </c>
      <c r="B83" t="s">
        <v>308</v>
      </c>
      <c r="C83" t="s">
        <v>312</v>
      </c>
      <c r="D83" t="s">
        <v>321</v>
      </c>
      <c r="E83">
        <v>20</v>
      </c>
      <c r="F83">
        <v>44826</v>
      </c>
      <c r="G83">
        <v>15</v>
      </c>
      <c r="H83">
        <v>47239</v>
      </c>
    </row>
    <row r="84" spans="1:8">
      <c r="A84" t="s">
        <v>90</v>
      </c>
      <c r="B84" t="s">
        <v>308</v>
      </c>
      <c r="C84" t="s">
        <v>312</v>
      </c>
      <c r="D84" t="s">
        <v>321</v>
      </c>
      <c r="E84">
        <v>32</v>
      </c>
      <c r="F84">
        <v>108850</v>
      </c>
      <c r="G84">
        <v>15</v>
      </c>
      <c r="H84">
        <v>50321</v>
      </c>
    </row>
    <row r="85" spans="1:8">
      <c r="A85" t="s">
        <v>91</v>
      </c>
      <c r="B85" t="s">
        <v>308</v>
      </c>
      <c r="C85" t="s">
        <v>313</v>
      </c>
      <c r="D85" t="s">
        <v>320</v>
      </c>
      <c r="E85">
        <v>48</v>
      </c>
      <c r="F85">
        <v>14905</v>
      </c>
      <c r="G85">
        <v>29</v>
      </c>
      <c r="H85">
        <v>73217</v>
      </c>
    </row>
    <row r="86" spans="1:8">
      <c r="A86" t="s">
        <v>92</v>
      </c>
      <c r="B86" t="s">
        <v>308</v>
      </c>
      <c r="C86" t="s">
        <v>311</v>
      </c>
      <c r="D86" t="s">
        <v>317</v>
      </c>
      <c r="E86">
        <v>31</v>
      </c>
      <c r="F86">
        <v>42469</v>
      </c>
      <c r="G86">
        <v>16</v>
      </c>
      <c r="H86">
        <v>42566</v>
      </c>
    </row>
    <row r="87" spans="1:8">
      <c r="A87" t="s">
        <v>93</v>
      </c>
      <c r="B87" t="s">
        <v>309</v>
      </c>
      <c r="C87" t="s">
        <v>311</v>
      </c>
      <c r="D87" t="s">
        <v>321</v>
      </c>
      <c r="E87">
        <v>26</v>
      </c>
      <c r="F87">
        <v>85083</v>
      </c>
      <c r="G87">
        <v>37</v>
      </c>
      <c r="H87">
        <v>63352</v>
      </c>
    </row>
    <row r="88" spans="1:8">
      <c r="A88" t="s">
        <v>94</v>
      </c>
      <c r="B88" t="s">
        <v>308</v>
      </c>
      <c r="C88" t="s">
        <v>315</v>
      </c>
      <c r="D88" t="s">
        <v>321</v>
      </c>
      <c r="E88">
        <v>38</v>
      </c>
      <c r="F88">
        <v>79042</v>
      </c>
      <c r="G88">
        <v>14</v>
      </c>
      <c r="H88">
        <v>27218</v>
      </c>
    </row>
    <row r="89" spans="1:8">
      <c r="A89" t="s">
        <v>95</v>
      </c>
      <c r="B89" t="s">
        <v>308</v>
      </c>
      <c r="C89" t="s">
        <v>316</v>
      </c>
      <c r="D89" t="s">
        <v>321</v>
      </c>
      <c r="E89">
        <v>52</v>
      </c>
      <c r="F89">
        <v>46000</v>
      </c>
      <c r="G89">
        <v>27</v>
      </c>
      <c r="H89">
        <v>47181</v>
      </c>
    </row>
    <row r="90" spans="1:8">
      <c r="A90" t="s">
        <v>96</v>
      </c>
      <c r="B90" t="s">
        <v>308</v>
      </c>
      <c r="C90" t="s">
        <v>310</v>
      </c>
      <c r="D90" t="s">
        <v>318</v>
      </c>
      <c r="E90">
        <v>27</v>
      </c>
      <c r="F90">
        <v>3866</v>
      </c>
      <c r="G90">
        <v>21</v>
      </c>
      <c r="H90">
        <v>78062</v>
      </c>
    </row>
    <row r="91" spans="1:8">
      <c r="A91" t="s">
        <v>97</v>
      </c>
      <c r="B91" t="s">
        <v>308</v>
      </c>
      <c r="C91" t="s">
        <v>311</v>
      </c>
      <c r="D91" t="s">
        <v>317</v>
      </c>
      <c r="E91">
        <v>7</v>
      </c>
      <c r="F91">
        <v>19070</v>
      </c>
      <c r="G91">
        <v>4</v>
      </c>
      <c r="H91">
        <v>7307</v>
      </c>
    </row>
    <row r="92" spans="1:8">
      <c r="A92" t="s">
        <v>98</v>
      </c>
      <c r="B92" t="s">
        <v>308</v>
      </c>
      <c r="C92" t="s">
        <v>314</v>
      </c>
      <c r="D92" t="s">
        <v>321</v>
      </c>
      <c r="E92">
        <v>38</v>
      </c>
      <c r="F92">
        <v>115462</v>
      </c>
      <c r="G92">
        <v>21</v>
      </c>
      <c r="H92">
        <v>45099</v>
      </c>
    </row>
    <row r="93" spans="1:8">
      <c r="A93" t="s">
        <v>99</v>
      </c>
      <c r="B93" t="s">
        <v>309</v>
      </c>
      <c r="C93" t="s">
        <v>316</v>
      </c>
      <c r="D93" t="s">
        <v>322</v>
      </c>
      <c r="E93">
        <v>54</v>
      </c>
      <c r="F93">
        <v>27306</v>
      </c>
      <c r="G93">
        <v>26</v>
      </c>
      <c r="H93">
        <v>2270</v>
      </c>
    </row>
    <row r="94" spans="1:8">
      <c r="A94" t="s">
        <v>100</v>
      </c>
      <c r="B94" t="s">
        <v>308</v>
      </c>
      <c r="C94" t="s">
        <v>314</v>
      </c>
      <c r="D94" t="s">
        <v>319</v>
      </c>
      <c r="E94">
        <v>50</v>
      </c>
      <c r="F94">
        <v>41795</v>
      </c>
      <c r="G94">
        <v>18</v>
      </c>
      <c r="H94">
        <v>52003</v>
      </c>
    </row>
    <row r="95" spans="1:8">
      <c r="A95" t="s">
        <v>101</v>
      </c>
      <c r="B95" t="s">
        <v>308</v>
      </c>
      <c r="C95" t="s">
        <v>311</v>
      </c>
      <c r="D95" t="s">
        <v>320</v>
      </c>
      <c r="E95">
        <v>15</v>
      </c>
      <c r="F95">
        <v>43086</v>
      </c>
      <c r="G95">
        <v>5</v>
      </c>
      <c r="H95">
        <v>19827</v>
      </c>
    </row>
    <row r="96" spans="1:8">
      <c r="A96" t="s">
        <v>102</v>
      </c>
      <c r="B96" t="s">
        <v>308</v>
      </c>
      <c r="C96" t="s">
        <v>315</v>
      </c>
      <c r="D96" t="s">
        <v>322</v>
      </c>
      <c r="E96">
        <v>6</v>
      </c>
      <c r="F96">
        <v>82856</v>
      </c>
      <c r="G96">
        <v>27</v>
      </c>
      <c r="H96">
        <v>74170</v>
      </c>
    </row>
    <row r="97" spans="1:8">
      <c r="A97" t="s">
        <v>103</v>
      </c>
      <c r="B97" t="s">
        <v>308</v>
      </c>
      <c r="C97" t="s">
        <v>316</v>
      </c>
      <c r="D97" t="s">
        <v>319</v>
      </c>
      <c r="E97">
        <v>25</v>
      </c>
      <c r="F97">
        <v>57542</v>
      </c>
      <c r="G97">
        <v>5</v>
      </c>
      <c r="H97">
        <v>31518</v>
      </c>
    </row>
    <row r="98" spans="1:8">
      <c r="A98" t="s">
        <v>104</v>
      </c>
      <c r="B98" t="s">
        <v>308</v>
      </c>
      <c r="C98" t="s">
        <v>314</v>
      </c>
      <c r="D98" t="s">
        <v>320</v>
      </c>
      <c r="E98">
        <v>33</v>
      </c>
      <c r="F98">
        <v>18861</v>
      </c>
      <c r="G98">
        <v>14</v>
      </c>
      <c r="H98">
        <v>5025</v>
      </c>
    </row>
    <row r="99" spans="1:8">
      <c r="A99" t="s">
        <v>105</v>
      </c>
      <c r="B99" t="s">
        <v>309</v>
      </c>
      <c r="C99" t="s">
        <v>310</v>
      </c>
      <c r="D99" t="s">
        <v>319</v>
      </c>
      <c r="E99">
        <v>48</v>
      </c>
      <c r="F99">
        <v>15641</v>
      </c>
      <c r="G99">
        <v>7</v>
      </c>
      <c r="H99">
        <v>62025</v>
      </c>
    </row>
    <row r="100" spans="1:8">
      <c r="A100" t="s">
        <v>106</v>
      </c>
      <c r="B100" t="s">
        <v>308</v>
      </c>
      <c r="C100" t="s">
        <v>314</v>
      </c>
      <c r="D100" t="s">
        <v>322</v>
      </c>
      <c r="E100">
        <v>29</v>
      </c>
      <c r="F100">
        <v>55065</v>
      </c>
      <c r="G100">
        <v>21</v>
      </c>
      <c r="H100">
        <v>34763</v>
      </c>
    </row>
    <row r="101" spans="1:8">
      <c r="A101" t="s">
        <v>107</v>
      </c>
      <c r="B101" t="s">
        <v>309</v>
      </c>
      <c r="C101" t="s">
        <v>311</v>
      </c>
      <c r="D101" t="s">
        <v>322</v>
      </c>
      <c r="E101">
        <v>18</v>
      </c>
      <c r="F101">
        <v>42345</v>
      </c>
      <c r="G101">
        <v>17</v>
      </c>
      <c r="H101">
        <v>77597</v>
      </c>
    </row>
    <row r="102" spans="1:8">
      <c r="A102" t="s">
        <v>108</v>
      </c>
      <c r="B102" t="s">
        <v>308</v>
      </c>
      <c r="C102" t="s">
        <v>315</v>
      </c>
      <c r="D102" t="s">
        <v>322</v>
      </c>
      <c r="E102">
        <v>42</v>
      </c>
      <c r="F102">
        <v>88488</v>
      </c>
      <c r="G102">
        <v>9</v>
      </c>
      <c r="H102">
        <v>13261</v>
      </c>
    </row>
    <row r="103" spans="1:8">
      <c r="A103" t="s">
        <v>109</v>
      </c>
      <c r="B103" t="s">
        <v>309</v>
      </c>
      <c r="C103" t="s">
        <v>315</v>
      </c>
      <c r="D103" t="s">
        <v>320</v>
      </c>
      <c r="E103">
        <v>58</v>
      </c>
      <c r="F103">
        <v>73987</v>
      </c>
      <c r="G103">
        <v>35</v>
      </c>
      <c r="H103">
        <v>52754</v>
      </c>
    </row>
    <row r="104" spans="1:8">
      <c r="A104" t="s">
        <v>110</v>
      </c>
      <c r="B104" t="s">
        <v>308</v>
      </c>
      <c r="C104" t="s">
        <v>316</v>
      </c>
      <c r="D104" t="s">
        <v>317</v>
      </c>
      <c r="E104">
        <v>32</v>
      </c>
      <c r="F104">
        <v>44234</v>
      </c>
      <c r="G104">
        <v>27</v>
      </c>
      <c r="H104">
        <v>23430</v>
      </c>
    </row>
    <row r="105" spans="1:8">
      <c r="A105" t="s">
        <v>111</v>
      </c>
      <c r="B105" t="s">
        <v>309</v>
      </c>
      <c r="C105" t="s">
        <v>313</v>
      </c>
      <c r="D105" t="s">
        <v>319</v>
      </c>
      <c r="E105">
        <v>46</v>
      </c>
      <c r="F105">
        <v>32426</v>
      </c>
      <c r="G105">
        <v>5</v>
      </c>
      <c r="H105">
        <v>4235</v>
      </c>
    </row>
    <row r="106" spans="1:8">
      <c r="A106" t="s">
        <v>112</v>
      </c>
      <c r="B106" t="s">
        <v>308</v>
      </c>
      <c r="C106" t="s">
        <v>310</v>
      </c>
      <c r="D106" t="s">
        <v>318</v>
      </c>
      <c r="E106">
        <v>30</v>
      </c>
      <c r="F106">
        <v>3786</v>
      </c>
      <c r="G106">
        <v>16</v>
      </c>
      <c r="H106">
        <v>1716</v>
      </c>
    </row>
    <row r="107" spans="1:8">
      <c r="A107" t="s">
        <v>113</v>
      </c>
      <c r="B107" t="s">
        <v>308</v>
      </c>
      <c r="C107" t="s">
        <v>312</v>
      </c>
      <c r="D107" t="s">
        <v>322</v>
      </c>
      <c r="E107">
        <v>21</v>
      </c>
      <c r="F107">
        <v>18867</v>
      </c>
      <c r="G107">
        <v>7</v>
      </c>
      <c r="H107">
        <v>7380</v>
      </c>
    </row>
    <row r="108" spans="1:8">
      <c r="A108" t="s">
        <v>114</v>
      </c>
      <c r="B108" t="s">
        <v>309</v>
      </c>
      <c r="C108" t="s">
        <v>315</v>
      </c>
      <c r="D108" t="s">
        <v>318</v>
      </c>
      <c r="E108">
        <v>22</v>
      </c>
      <c r="F108">
        <v>42933</v>
      </c>
      <c r="G108">
        <v>1</v>
      </c>
      <c r="H108">
        <v>48739</v>
      </c>
    </row>
    <row r="109" spans="1:8">
      <c r="A109" t="s">
        <v>115</v>
      </c>
      <c r="B109" t="s">
        <v>308</v>
      </c>
      <c r="C109" t="s">
        <v>313</v>
      </c>
      <c r="D109" t="s">
        <v>317</v>
      </c>
      <c r="E109">
        <v>28</v>
      </c>
      <c r="F109">
        <v>119643</v>
      </c>
      <c r="G109">
        <v>17</v>
      </c>
      <c r="H109">
        <v>36060</v>
      </c>
    </row>
    <row r="110" spans="1:8">
      <c r="A110" t="s">
        <v>116</v>
      </c>
      <c r="B110" t="s">
        <v>308</v>
      </c>
      <c r="C110" t="s">
        <v>315</v>
      </c>
      <c r="D110" t="s">
        <v>322</v>
      </c>
      <c r="E110">
        <v>17</v>
      </c>
      <c r="F110">
        <v>65531</v>
      </c>
      <c r="G110">
        <v>31</v>
      </c>
      <c r="H110">
        <v>77197</v>
      </c>
    </row>
    <row r="111" spans="1:8">
      <c r="A111" t="s">
        <v>117</v>
      </c>
      <c r="B111" t="s">
        <v>308</v>
      </c>
      <c r="C111" t="s">
        <v>313</v>
      </c>
      <c r="D111" t="s">
        <v>320</v>
      </c>
      <c r="E111">
        <v>12</v>
      </c>
      <c r="F111">
        <v>4715</v>
      </c>
      <c r="G111">
        <v>4</v>
      </c>
      <c r="H111">
        <v>1969</v>
      </c>
    </row>
    <row r="112" spans="1:8">
      <c r="A112" t="s">
        <v>118</v>
      </c>
      <c r="B112" t="s">
        <v>308</v>
      </c>
      <c r="C112" t="s">
        <v>313</v>
      </c>
      <c r="D112" t="s">
        <v>320</v>
      </c>
      <c r="E112">
        <v>37</v>
      </c>
      <c r="F112">
        <v>115008</v>
      </c>
      <c r="G112">
        <v>19</v>
      </c>
      <c r="H112">
        <v>5482</v>
      </c>
    </row>
    <row r="113" spans="1:8">
      <c r="A113" t="s">
        <v>119</v>
      </c>
      <c r="B113" t="s">
        <v>308</v>
      </c>
      <c r="C113" t="s">
        <v>310</v>
      </c>
      <c r="D113" t="s">
        <v>322</v>
      </c>
      <c r="E113">
        <v>42</v>
      </c>
      <c r="F113">
        <v>22998</v>
      </c>
      <c r="G113">
        <v>16</v>
      </c>
      <c r="H113">
        <v>21699</v>
      </c>
    </row>
    <row r="114" spans="1:8">
      <c r="A114" t="s">
        <v>120</v>
      </c>
      <c r="B114" t="s">
        <v>309</v>
      </c>
      <c r="C114" t="s">
        <v>312</v>
      </c>
      <c r="D114" t="s">
        <v>321</v>
      </c>
      <c r="E114">
        <v>42</v>
      </c>
      <c r="F114">
        <v>29933</v>
      </c>
      <c r="G114">
        <v>15</v>
      </c>
      <c r="H114">
        <v>62259</v>
      </c>
    </row>
    <row r="115" spans="1:8">
      <c r="A115" t="s">
        <v>121</v>
      </c>
      <c r="B115" t="s">
        <v>308</v>
      </c>
      <c r="C115" t="s">
        <v>311</v>
      </c>
      <c r="D115" t="s">
        <v>321</v>
      </c>
      <c r="E115">
        <v>4</v>
      </c>
      <c r="F115">
        <v>42580</v>
      </c>
      <c r="G115">
        <v>17</v>
      </c>
      <c r="H115">
        <v>14141</v>
      </c>
    </row>
    <row r="116" spans="1:8">
      <c r="A116" t="s">
        <v>122</v>
      </c>
      <c r="B116" t="s">
        <v>308</v>
      </c>
      <c r="C116" t="s">
        <v>312</v>
      </c>
      <c r="D116" t="s">
        <v>322</v>
      </c>
      <c r="E116">
        <v>21</v>
      </c>
      <c r="F116">
        <v>112101</v>
      </c>
      <c r="G116">
        <v>8</v>
      </c>
      <c r="H116">
        <v>25140</v>
      </c>
    </row>
    <row r="117" spans="1:8">
      <c r="A117" t="s">
        <v>123</v>
      </c>
      <c r="B117" t="s">
        <v>308</v>
      </c>
      <c r="C117" t="s">
        <v>316</v>
      </c>
      <c r="D117" t="s">
        <v>319</v>
      </c>
      <c r="E117">
        <v>31</v>
      </c>
      <c r="F117">
        <v>51744</v>
      </c>
      <c r="G117">
        <v>22</v>
      </c>
      <c r="H117">
        <v>3207</v>
      </c>
    </row>
    <row r="118" spans="1:8">
      <c r="A118" t="s">
        <v>124</v>
      </c>
      <c r="B118" t="s">
        <v>308</v>
      </c>
      <c r="C118" t="s">
        <v>315</v>
      </c>
      <c r="D118" t="s">
        <v>318</v>
      </c>
      <c r="E118">
        <v>14</v>
      </c>
      <c r="F118">
        <v>110339</v>
      </c>
      <c r="G118">
        <v>9</v>
      </c>
      <c r="H118">
        <v>22346</v>
      </c>
    </row>
    <row r="119" spans="1:8">
      <c r="A119" t="s">
        <v>125</v>
      </c>
      <c r="B119" t="s">
        <v>309</v>
      </c>
      <c r="C119" t="s">
        <v>312</v>
      </c>
      <c r="D119" t="s">
        <v>318</v>
      </c>
      <c r="E119">
        <v>20</v>
      </c>
      <c r="F119">
        <v>45492</v>
      </c>
      <c r="G119">
        <v>7</v>
      </c>
      <c r="H119">
        <v>33141</v>
      </c>
    </row>
    <row r="120" spans="1:8">
      <c r="A120" t="s">
        <v>126</v>
      </c>
      <c r="B120" t="s">
        <v>309</v>
      </c>
      <c r="C120" t="s">
        <v>314</v>
      </c>
      <c r="D120" t="s">
        <v>318</v>
      </c>
      <c r="E120">
        <v>25</v>
      </c>
      <c r="F120">
        <v>88835</v>
      </c>
      <c r="G120">
        <v>11</v>
      </c>
      <c r="H120">
        <v>67305</v>
      </c>
    </row>
    <row r="121" spans="1:8">
      <c r="A121" t="s">
        <v>127</v>
      </c>
      <c r="B121" t="s">
        <v>308</v>
      </c>
      <c r="C121" t="s">
        <v>315</v>
      </c>
      <c r="D121" t="s">
        <v>322</v>
      </c>
      <c r="E121">
        <v>2</v>
      </c>
      <c r="F121">
        <v>77654</v>
      </c>
      <c r="G121">
        <v>31</v>
      </c>
      <c r="H121">
        <v>39589</v>
      </c>
    </row>
    <row r="122" spans="1:8">
      <c r="A122" t="s">
        <v>128</v>
      </c>
      <c r="B122" t="s">
        <v>308</v>
      </c>
      <c r="C122" t="s">
        <v>316</v>
      </c>
      <c r="D122" t="s">
        <v>321</v>
      </c>
      <c r="E122">
        <v>59</v>
      </c>
      <c r="F122">
        <v>32225</v>
      </c>
      <c r="G122">
        <v>34</v>
      </c>
      <c r="H122">
        <v>40496</v>
      </c>
    </row>
    <row r="123" spans="1:8">
      <c r="A123" t="s">
        <v>129</v>
      </c>
      <c r="B123" t="s">
        <v>308</v>
      </c>
      <c r="C123" t="s">
        <v>311</v>
      </c>
      <c r="D123" t="s">
        <v>320</v>
      </c>
      <c r="E123">
        <v>43</v>
      </c>
      <c r="F123">
        <v>36426</v>
      </c>
      <c r="G123">
        <v>10</v>
      </c>
      <c r="H123">
        <v>33137</v>
      </c>
    </row>
    <row r="124" spans="1:8">
      <c r="A124" t="s">
        <v>130</v>
      </c>
      <c r="B124" t="s">
        <v>308</v>
      </c>
      <c r="C124" t="s">
        <v>313</v>
      </c>
      <c r="D124" t="s">
        <v>317</v>
      </c>
      <c r="E124">
        <v>51</v>
      </c>
      <c r="F124">
        <v>104656</v>
      </c>
      <c r="G124">
        <v>19</v>
      </c>
      <c r="H124">
        <v>76678</v>
      </c>
    </row>
    <row r="125" spans="1:8">
      <c r="A125" t="s">
        <v>131</v>
      </c>
      <c r="B125" t="s">
        <v>308</v>
      </c>
      <c r="C125" t="s">
        <v>310</v>
      </c>
      <c r="D125" t="s">
        <v>321</v>
      </c>
      <c r="E125">
        <v>31</v>
      </c>
      <c r="F125">
        <v>70556</v>
      </c>
      <c r="G125">
        <v>16</v>
      </c>
      <c r="H125">
        <v>55452</v>
      </c>
    </row>
    <row r="126" spans="1:8">
      <c r="A126" t="s">
        <v>132</v>
      </c>
      <c r="B126" t="s">
        <v>308</v>
      </c>
      <c r="C126" t="s">
        <v>314</v>
      </c>
      <c r="D126" t="s">
        <v>322</v>
      </c>
      <c r="E126">
        <v>20</v>
      </c>
      <c r="F126">
        <v>92160</v>
      </c>
      <c r="G126">
        <v>30</v>
      </c>
      <c r="H126">
        <v>58118</v>
      </c>
    </row>
    <row r="127" spans="1:8">
      <c r="A127" t="s">
        <v>133</v>
      </c>
      <c r="B127" t="s">
        <v>308</v>
      </c>
      <c r="C127" t="s">
        <v>315</v>
      </c>
      <c r="D127" t="s">
        <v>317</v>
      </c>
      <c r="E127">
        <v>21</v>
      </c>
      <c r="F127">
        <v>31727</v>
      </c>
      <c r="G127">
        <v>9</v>
      </c>
      <c r="H127">
        <v>16907</v>
      </c>
    </row>
    <row r="128" spans="1:8">
      <c r="A128" t="s">
        <v>134</v>
      </c>
      <c r="B128" t="s">
        <v>308</v>
      </c>
      <c r="C128" t="s">
        <v>310</v>
      </c>
      <c r="D128" t="s">
        <v>319</v>
      </c>
      <c r="E128">
        <v>5</v>
      </c>
      <c r="F128">
        <v>106830</v>
      </c>
      <c r="G128">
        <v>14</v>
      </c>
      <c r="H128">
        <v>19191</v>
      </c>
    </row>
    <row r="129" spans="1:8">
      <c r="A129" t="s">
        <v>135</v>
      </c>
      <c r="B129" t="s">
        <v>308</v>
      </c>
      <c r="C129" t="s">
        <v>311</v>
      </c>
      <c r="D129" t="s">
        <v>320</v>
      </c>
      <c r="E129">
        <v>48</v>
      </c>
      <c r="F129">
        <v>29813</v>
      </c>
      <c r="G129">
        <v>14</v>
      </c>
      <c r="H129">
        <v>37802</v>
      </c>
    </row>
    <row r="130" spans="1:8">
      <c r="A130" t="s">
        <v>136</v>
      </c>
      <c r="B130" t="s">
        <v>308</v>
      </c>
      <c r="C130" t="s">
        <v>315</v>
      </c>
      <c r="D130" t="s">
        <v>319</v>
      </c>
      <c r="E130">
        <v>20</v>
      </c>
      <c r="F130">
        <v>76883</v>
      </c>
      <c r="G130">
        <v>31</v>
      </c>
      <c r="H130">
        <v>76893</v>
      </c>
    </row>
    <row r="131" spans="1:8">
      <c r="A131" t="s">
        <v>137</v>
      </c>
      <c r="B131" t="s">
        <v>308</v>
      </c>
      <c r="C131" t="s">
        <v>316</v>
      </c>
      <c r="D131" t="s">
        <v>318</v>
      </c>
      <c r="E131">
        <v>55</v>
      </c>
      <c r="F131">
        <v>29406</v>
      </c>
      <c r="G131">
        <v>15</v>
      </c>
      <c r="H131">
        <v>18181</v>
      </c>
    </row>
    <row r="132" spans="1:8">
      <c r="A132" t="s">
        <v>138</v>
      </c>
      <c r="B132" t="s">
        <v>308</v>
      </c>
      <c r="C132" t="s">
        <v>316</v>
      </c>
      <c r="D132" t="s">
        <v>317</v>
      </c>
      <c r="E132">
        <v>28</v>
      </c>
      <c r="F132">
        <v>115360</v>
      </c>
      <c r="G132">
        <v>12</v>
      </c>
      <c r="H132">
        <v>48164</v>
      </c>
    </row>
    <row r="133" spans="1:8">
      <c r="A133" t="s">
        <v>139</v>
      </c>
      <c r="B133" t="s">
        <v>308</v>
      </c>
      <c r="C133" t="s">
        <v>313</v>
      </c>
      <c r="D133" t="s">
        <v>317</v>
      </c>
      <c r="E133">
        <v>54</v>
      </c>
      <c r="F133">
        <v>71300</v>
      </c>
      <c r="G133">
        <v>32</v>
      </c>
      <c r="H133">
        <v>37774</v>
      </c>
    </row>
    <row r="134" spans="1:8">
      <c r="A134" t="s">
        <v>140</v>
      </c>
      <c r="B134" t="s">
        <v>309</v>
      </c>
      <c r="C134" t="s">
        <v>314</v>
      </c>
      <c r="D134" t="s">
        <v>322</v>
      </c>
      <c r="E134">
        <v>57</v>
      </c>
      <c r="F134">
        <v>75047</v>
      </c>
      <c r="G134">
        <v>30</v>
      </c>
      <c r="H134">
        <v>7542</v>
      </c>
    </row>
    <row r="135" spans="1:8">
      <c r="A135" t="s">
        <v>141</v>
      </c>
      <c r="B135" t="s">
        <v>308</v>
      </c>
      <c r="C135" t="s">
        <v>316</v>
      </c>
      <c r="D135" t="s">
        <v>319</v>
      </c>
      <c r="E135">
        <v>45</v>
      </c>
      <c r="F135">
        <v>96646</v>
      </c>
      <c r="G135">
        <v>12</v>
      </c>
      <c r="H135">
        <v>74818</v>
      </c>
    </row>
    <row r="136" spans="1:8">
      <c r="A136" t="s">
        <v>142</v>
      </c>
      <c r="B136" t="s">
        <v>308</v>
      </c>
      <c r="C136" t="s">
        <v>315</v>
      </c>
      <c r="D136" t="s">
        <v>317</v>
      </c>
      <c r="E136">
        <v>38</v>
      </c>
      <c r="F136">
        <v>33949</v>
      </c>
      <c r="G136">
        <v>9</v>
      </c>
      <c r="H136">
        <v>72385</v>
      </c>
    </row>
    <row r="137" spans="1:8">
      <c r="A137" t="s">
        <v>143</v>
      </c>
      <c r="B137" t="s">
        <v>308</v>
      </c>
      <c r="C137" t="s">
        <v>315</v>
      </c>
      <c r="D137" t="s">
        <v>318</v>
      </c>
      <c r="E137">
        <v>47</v>
      </c>
      <c r="F137">
        <v>7658</v>
      </c>
      <c r="G137">
        <v>7</v>
      </c>
      <c r="H137">
        <v>10475</v>
      </c>
    </row>
    <row r="138" spans="1:8">
      <c r="A138" t="s">
        <v>144</v>
      </c>
      <c r="B138" t="s">
        <v>308</v>
      </c>
      <c r="C138" t="s">
        <v>312</v>
      </c>
      <c r="D138" t="s">
        <v>322</v>
      </c>
      <c r="E138">
        <v>51</v>
      </c>
      <c r="F138">
        <v>118396</v>
      </c>
      <c r="G138">
        <v>28</v>
      </c>
      <c r="H138">
        <v>54672</v>
      </c>
    </row>
    <row r="139" spans="1:8">
      <c r="A139" t="s">
        <v>145</v>
      </c>
      <c r="B139" t="s">
        <v>308</v>
      </c>
      <c r="C139" t="s">
        <v>313</v>
      </c>
      <c r="D139" t="s">
        <v>321</v>
      </c>
      <c r="E139">
        <v>49</v>
      </c>
      <c r="F139">
        <v>7496</v>
      </c>
      <c r="G139">
        <v>16</v>
      </c>
      <c r="H139">
        <v>2691</v>
      </c>
    </row>
    <row r="140" spans="1:8">
      <c r="A140" t="s">
        <v>146</v>
      </c>
      <c r="B140" t="s">
        <v>308</v>
      </c>
      <c r="C140" t="s">
        <v>316</v>
      </c>
      <c r="D140" t="s">
        <v>320</v>
      </c>
      <c r="E140">
        <v>31</v>
      </c>
      <c r="F140">
        <v>63881</v>
      </c>
      <c r="G140">
        <v>19</v>
      </c>
      <c r="H140">
        <v>2717</v>
      </c>
    </row>
    <row r="141" spans="1:8">
      <c r="A141" t="s">
        <v>147</v>
      </c>
      <c r="B141" t="s">
        <v>308</v>
      </c>
      <c r="C141" t="s">
        <v>314</v>
      </c>
      <c r="D141" t="s">
        <v>317</v>
      </c>
      <c r="E141">
        <v>57</v>
      </c>
      <c r="F141">
        <v>32581</v>
      </c>
      <c r="G141">
        <v>28</v>
      </c>
      <c r="H141">
        <v>5587</v>
      </c>
    </row>
    <row r="142" spans="1:8">
      <c r="A142" t="s">
        <v>148</v>
      </c>
      <c r="B142" t="s">
        <v>308</v>
      </c>
      <c r="C142" t="s">
        <v>310</v>
      </c>
      <c r="D142" t="s">
        <v>318</v>
      </c>
      <c r="E142">
        <v>27</v>
      </c>
      <c r="F142">
        <v>4481</v>
      </c>
      <c r="G142">
        <v>30</v>
      </c>
      <c r="H142">
        <v>50123</v>
      </c>
    </row>
    <row r="143" spans="1:8">
      <c r="A143" t="s">
        <v>149</v>
      </c>
      <c r="B143" t="s">
        <v>308</v>
      </c>
      <c r="C143" t="s">
        <v>313</v>
      </c>
      <c r="D143" t="s">
        <v>322</v>
      </c>
      <c r="E143">
        <v>16</v>
      </c>
      <c r="F143">
        <v>25702</v>
      </c>
      <c r="G143">
        <v>21</v>
      </c>
      <c r="H143">
        <v>57772</v>
      </c>
    </row>
    <row r="144" spans="1:8">
      <c r="A144" t="s">
        <v>150</v>
      </c>
      <c r="B144" t="s">
        <v>308</v>
      </c>
      <c r="C144" t="s">
        <v>312</v>
      </c>
      <c r="D144" t="s">
        <v>322</v>
      </c>
      <c r="E144">
        <v>18</v>
      </c>
      <c r="F144">
        <v>13175</v>
      </c>
      <c r="G144">
        <v>5</v>
      </c>
      <c r="H144">
        <v>5916</v>
      </c>
    </row>
    <row r="145" spans="1:8">
      <c r="A145" t="s">
        <v>151</v>
      </c>
      <c r="B145" t="s">
        <v>308</v>
      </c>
      <c r="C145" t="s">
        <v>310</v>
      </c>
      <c r="D145" t="s">
        <v>317</v>
      </c>
      <c r="E145">
        <v>46</v>
      </c>
      <c r="F145">
        <v>52233</v>
      </c>
      <c r="G145">
        <v>31</v>
      </c>
      <c r="H145">
        <v>63996</v>
      </c>
    </row>
    <row r="146" spans="1:8">
      <c r="A146" t="s">
        <v>152</v>
      </c>
      <c r="B146" t="s">
        <v>308</v>
      </c>
      <c r="C146" t="s">
        <v>313</v>
      </c>
      <c r="D146" t="s">
        <v>319</v>
      </c>
      <c r="E146">
        <v>44</v>
      </c>
      <c r="F146">
        <v>69435</v>
      </c>
      <c r="G146">
        <v>20</v>
      </c>
      <c r="H146">
        <v>31153</v>
      </c>
    </row>
    <row r="147" spans="1:8">
      <c r="A147" t="s">
        <v>153</v>
      </c>
      <c r="B147" t="s">
        <v>308</v>
      </c>
      <c r="C147" t="s">
        <v>312</v>
      </c>
      <c r="D147" t="s">
        <v>322</v>
      </c>
      <c r="E147">
        <v>41</v>
      </c>
      <c r="F147">
        <v>15363</v>
      </c>
      <c r="G147">
        <v>38</v>
      </c>
      <c r="H147">
        <v>21917</v>
      </c>
    </row>
    <row r="148" spans="1:8">
      <c r="A148" t="s">
        <v>154</v>
      </c>
      <c r="B148" t="s">
        <v>308</v>
      </c>
      <c r="C148" t="s">
        <v>311</v>
      </c>
      <c r="D148" t="s">
        <v>321</v>
      </c>
      <c r="E148">
        <v>17</v>
      </c>
      <c r="F148">
        <v>63218</v>
      </c>
      <c r="G148">
        <v>5</v>
      </c>
      <c r="H148">
        <v>30311</v>
      </c>
    </row>
    <row r="149" spans="1:8">
      <c r="A149" t="s">
        <v>155</v>
      </c>
      <c r="B149" t="s">
        <v>309</v>
      </c>
      <c r="C149" t="s">
        <v>312</v>
      </c>
      <c r="D149" t="s">
        <v>318</v>
      </c>
      <c r="E149">
        <v>48</v>
      </c>
      <c r="F149">
        <v>23452</v>
      </c>
      <c r="G149">
        <v>33</v>
      </c>
      <c r="H149">
        <v>68776</v>
      </c>
    </row>
    <row r="150" spans="1:8">
      <c r="A150" t="s">
        <v>156</v>
      </c>
      <c r="B150" t="s">
        <v>309</v>
      </c>
      <c r="C150" t="s">
        <v>312</v>
      </c>
      <c r="D150" t="s">
        <v>321</v>
      </c>
      <c r="E150">
        <v>9</v>
      </c>
      <c r="F150">
        <v>93470</v>
      </c>
      <c r="G150">
        <v>8</v>
      </c>
      <c r="H150">
        <v>54064</v>
      </c>
    </row>
    <row r="151" spans="1:8">
      <c r="A151" t="s">
        <v>157</v>
      </c>
      <c r="B151" t="s">
        <v>308</v>
      </c>
      <c r="C151" t="s">
        <v>310</v>
      </c>
      <c r="D151" t="s">
        <v>320</v>
      </c>
      <c r="E151">
        <v>25</v>
      </c>
      <c r="F151">
        <v>47501</v>
      </c>
      <c r="G151">
        <v>40</v>
      </c>
      <c r="H151">
        <v>40170</v>
      </c>
    </row>
    <row r="152" spans="1:8">
      <c r="A152" t="s">
        <v>158</v>
      </c>
      <c r="B152" t="s">
        <v>308</v>
      </c>
      <c r="C152" t="s">
        <v>315</v>
      </c>
      <c r="D152" t="s">
        <v>320</v>
      </c>
      <c r="E152">
        <v>29</v>
      </c>
      <c r="F152">
        <v>64152</v>
      </c>
      <c r="G152">
        <v>15</v>
      </c>
      <c r="H152">
        <v>36646</v>
      </c>
    </row>
    <row r="153" spans="1:8">
      <c r="A153" t="s">
        <v>159</v>
      </c>
      <c r="B153" t="s">
        <v>309</v>
      </c>
      <c r="C153" t="s">
        <v>310</v>
      </c>
      <c r="D153" t="s">
        <v>319</v>
      </c>
      <c r="E153">
        <v>43</v>
      </c>
      <c r="F153">
        <v>57069</v>
      </c>
      <c r="G153">
        <v>3</v>
      </c>
      <c r="H153">
        <v>31872</v>
      </c>
    </row>
    <row r="154" spans="1:8">
      <c r="A154" t="s">
        <v>160</v>
      </c>
      <c r="B154" t="s">
        <v>308</v>
      </c>
      <c r="C154" t="s">
        <v>313</v>
      </c>
      <c r="D154" t="s">
        <v>317</v>
      </c>
      <c r="E154">
        <v>45</v>
      </c>
      <c r="F154">
        <v>115341</v>
      </c>
      <c r="G154">
        <v>2</v>
      </c>
      <c r="H154">
        <v>36220</v>
      </c>
    </row>
    <row r="155" spans="1:8">
      <c r="A155" t="s">
        <v>161</v>
      </c>
      <c r="B155" t="s">
        <v>308</v>
      </c>
      <c r="C155" t="s">
        <v>310</v>
      </c>
      <c r="D155" t="s">
        <v>322</v>
      </c>
      <c r="E155">
        <v>46</v>
      </c>
      <c r="F155">
        <v>115292</v>
      </c>
      <c r="G155">
        <v>24</v>
      </c>
      <c r="H155">
        <v>76679</v>
      </c>
    </row>
    <row r="156" spans="1:8">
      <c r="A156" t="s">
        <v>162</v>
      </c>
      <c r="B156" t="s">
        <v>308</v>
      </c>
      <c r="C156" t="s">
        <v>310</v>
      </c>
      <c r="D156" t="s">
        <v>320</v>
      </c>
      <c r="E156">
        <v>23</v>
      </c>
      <c r="F156">
        <v>16846</v>
      </c>
      <c r="G156">
        <v>28</v>
      </c>
      <c r="H156">
        <v>46378</v>
      </c>
    </row>
    <row r="157" spans="1:8">
      <c r="A157" t="s">
        <v>163</v>
      </c>
      <c r="B157" t="s">
        <v>308</v>
      </c>
      <c r="C157" t="s">
        <v>315</v>
      </c>
      <c r="D157" t="s">
        <v>321</v>
      </c>
      <c r="E157">
        <v>39</v>
      </c>
      <c r="F157">
        <v>99110</v>
      </c>
      <c r="G157">
        <v>21</v>
      </c>
      <c r="H157">
        <v>52419</v>
      </c>
    </row>
    <row r="158" spans="1:8">
      <c r="A158" t="s">
        <v>164</v>
      </c>
      <c r="B158" t="s">
        <v>308</v>
      </c>
      <c r="C158" t="s">
        <v>316</v>
      </c>
      <c r="D158" t="s">
        <v>318</v>
      </c>
      <c r="E158">
        <v>53</v>
      </c>
      <c r="F158">
        <v>106094</v>
      </c>
      <c r="G158">
        <v>15</v>
      </c>
      <c r="H158">
        <v>38675</v>
      </c>
    </row>
    <row r="159" spans="1:8">
      <c r="A159" t="s">
        <v>165</v>
      </c>
      <c r="B159" t="s">
        <v>308</v>
      </c>
      <c r="C159" t="s">
        <v>312</v>
      </c>
      <c r="D159" t="s">
        <v>322</v>
      </c>
      <c r="E159">
        <v>42</v>
      </c>
      <c r="F159">
        <v>82440</v>
      </c>
      <c r="G159">
        <v>28</v>
      </c>
      <c r="H159">
        <v>62170</v>
      </c>
    </row>
    <row r="160" spans="1:8">
      <c r="A160" t="s">
        <v>166</v>
      </c>
      <c r="B160" t="s">
        <v>308</v>
      </c>
      <c r="C160" t="s">
        <v>315</v>
      </c>
      <c r="D160" t="s">
        <v>319</v>
      </c>
      <c r="E160">
        <v>48</v>
      </c>
      <c r="F160">
        <v>4140</v>
      </c>
      <c r="G160">
        <v>25</v>
      </c>
      <c r="H160">
        <v>1624</v>
      </c>
    </row>
    <row r="161" spans="1:8">
      <c r="A161" t="s">
        <v>167</v>
      </c>
      <c r="B161" t="s">
        <v>308</v>
      </c>
      <c r="C161" t="s">
        <v>310</v>
      </c>
      <c r="D161" t="s">
        <v>322</v>
      </c>
      <c r="E161">
        <v>42</v>
      </c>
      <c r="F161">
        <v>105037</v>
      </c>
      <c r="G161">
        <v>19</v>
      </c>
      <c r="H161">
        <v>45937</v>
      </c>
    </row>
    <row r="162" spans="1:8">
      <c r="A162" t="s">
        <v>168</v>
      </c>
      <c r="B162" t="s">
        <v>309</v>
      </c>
      <c r="C162" t="s">
        <v>310</v>
      </c>
      <c r="D162" t="s">
        <v>322</v>
      </c>
      <c r="E162">
        <v>8</v>
      </c>
      <c r="F162">
        <v>27640</v>
      </c>
      <c r="G162">
        <v>11</v>
      </c>
      <c r="H162">
        <v>77533</v>
      </c>
    </row>
    <row r="163" spans="1:8">
      <c r="A163" t="s">
        <v>169</v>
      </c>
      <c r="B163" t="s">
        <v>308</v>
      </c>
      <c r="C163" t="s">
        <v>311</v>
      </c>
      <c r="D163" t="s">
        <v>321</v>
      </c>
      <c r="E163">
        <v>31</v>
      </c>
      <c r="F163">
        <v>118260</v>
      </c>
      <c r="G163">
        <v>22</v>
      </c>
      <c r="H163">
        <v>65622</v>
      </c>
    </row>
    <row r="164" spans="1:8">
      <c r="A164" t="s">
        <v>170</v>
      </c>
      <c r="B164" t="s">
        <v>308</v>
      </c>
      <c r="C164" t="s">
        <v>313</v>
      </c>
      <c r="D164" t="s">
        <v>322</v>
      </c>
      <c r="E164">
        <v>56</v>
      </c>
      <c r="F164">
        <v>28796</v>
      </c>
      <c r="G164">
        <v>31</v>
      </c>
      <c r="H164">
        <v>22623</v>
      </c>
    </row>
    <row r="165" spans="1:8">
      <c r="A165" t="s">
        <v>171</v>
      </c>
      <c r="B165" t="s">
        <v>308</v>
      </c>
      <c r="C165" t="s">
        <v>314</v>
      </c>
      <c r="D165" t="s">
        <v>319</v>
      </c>
      <c r="E165">
        <v>55</v>
      </c>
      <c r="F165">
        <v>103125</v>
      </c>
      <c r="G165">
        <v>23</v>
      </c>
      <c r="H165">
        <v>46774</v>
      </c>
    </row>
    <row r="166" spans="1:8">
      <c r="A166" t="s">
        <v>172</v>
      </c>
      <c r="B166" t="s">
        <v>309</v>
      </c>
      <c r="C166" t="s">
        <v>315</v>
      </c>
      <c r="D166" t="s">
        <v>321</v>
      </c>
      <c r="E166">
        <v>15</v>
      </c>
      <c r="F166">
        <v>33403</v>
      </c>
      <c r="G166">
        <v>20</v>
      </c>
      <c r="H166">
        <v>42096</v>
      </c>
    </row>
    <row r="167" spans="1:8">
      <c r="A167" t="s">
        <v>173</v>
      </c>
      <c r="B167" t="s">
        <v>309</v>
      </c>
      <c r="C167" t="s">
        <v>316</v>
      </c>
      <c r="D167" t="s">
        <v>321</v>
      </c>
      <c r="E167">
        <v>59</v>
      </c>
      <c r="F167">
        <v>75853</v>
      </c>
      <c r="G167">
        <v>16</v>
      </c>
      <c r="H167">
        <v>64314</v>
      </c>
    </row>
    <row r="168" spans="1:8">
      <c r="A168" t="s">
        <v>174</v>
      </c>
      <c r="B168" t="s">
        <v>309</v>
      </c>
      <c r="C168" t="s">
        <v>315</v>
      </c>
      <c r="D168" t="s">
        <v>322</v>
      </c>
      <c r="E168">
        <v>49</v>
      </c>
      <c r="F168">
        <v>27334</v>
      </c>
      <c r="G168">
        <v>6</v>
      </c>
      <c r="H168">
        <v>62288</v>
      </c>
    </row>
    <row r="169" spans="1:8">
      <c r="A169" t="s">
        <v>175</v>
      </c>
      <c r="B169" t="s">
        <v>308</v>
      </c>
      <c r="C169" t="s">
        <v>316</v>
      </c>
      <c r="D169" t="s">
        <v>322</v>
      </c>
      <c r="E169">
        <v>52</v>
      </c>
      <c r="F169">
        <v>48778</v>
      </c>
      <c r="G169">
        <v>36</v>
      </c>
      <c r="H169">
        <v>49548</v>
      </c>
    </row>
    <row r="170" spans="1:8">
      <c r="A170" t="s">
        <v>176</v>
      </c>
      <c r="B170" t="s">
        <v>308</v>
      </c>
      <c r="C170" t="s">
        <v>313</v>
      </c>
      <c r="D170" t="s">
        <v>319</v>
      </c>
      <c r="E170">
        <v>47</v>
      </c>
      <c r="F170">
        <v>3637</v>
      </c>
      <c r="G170">
        <v>5</v>
      </c>
      <c r="H170">
        <v>29682</v>
      </c>
    </row>
    <row r="171" spans="1:8">
      <c r="A171" t="s">
        <v>177</v>
      </c>
      <c r="B171" t="s">
        <v>308</v>
      </c>
      <c r="C171" t="s">
        <v>311</v>
      </c>
      <c r="D171" t="s">
        <v>322</v>
      </c>
      <c r="E171">
        <v>13</v>
      </c>
      <c r="F171">
        <v>93178</v>
      </c>
      <c r="G171">
        <v>8</v>
      </c>
      <c r="H171">
        <v>77259</v>
      </c>
    </row>
    <row r="172" spans="1:8">
      <c r="A172" t="s">
        <v>178</v>
      </c>
      <c r="B172" t="s">
        <v>308</v>
      </c>
      <c r="C172" t="s">
        <v>315</v>
      </c>
      <c r="D172" t="s">
        <v>317</v>
      </c>
      <c r="E172">
        <v>49</v>
      </c>
      <c r="F172">
        <v>39544</v>
      </c>
      <c r="G172">
        <v>3</v>
      </c>
      <c r="H172">
        <v>53698</v>
      </c>
    </row>
    <row r="173" spans="1:8">
      <c r="A173" t="s">
        <v>179</v>
      </c>
      <c r="B173" t="s">
        <v>308</v>
      </c>
      <c r="C173" t="s">
        <v>313</v>
      </c>
      <c r="D173" t="s">
        <v>322</v>
      </c>
      <c r="E173">
        <v>13</v>
      </c>
      <c r="F173">
        <v>116490</v>
      </c>
      <c r="G173">
        <v>16</v>
      </c>
      <c r="H173">
        <v>40759</v>
      </c>
    </row>
    <row r="174" spans="1:8">
      <c r="A174" t="s">
        <v>180</v>
      </c>
      <c r="B174" t="s">
        <v>308</v>
      </c>
      <c r="C174" t="s">
        <v>312</v>
      </c>
      <c r="D174" t="s">
        <v>319</v>
      </c>
      <c r="E174">
        <v>38</v>
      </c>
      <c r="F174">
        <v>48083</v>
      </c>
      <c r="G174">
        <v>38</v>
      </c>
      <c r="H174">
        <v>41841</v>
      </c>
    </row>
    <row r="175" spans="1:8">
      <c r="A175" t="s">
        <v>181</v>
      </c>
      <c r="B175" t="s">
        <v>308</v>
      </c>
      <c r="C175" t="s">
        <v>311</v>
      </c>
      <c r="D175" t="s">
        <v>320</v>
      </c>
      <c r="E175">
        <v>47</v>
      </c>
      <c r="F175">
        <v>35679</v>
      </c>
      <c r="G175">
        <v>18</v>
      </c>
      <c r="H175">
        <v>56092</v>
      </c>
    </row>
    <row r="176" spans="1:8">
      <c r="A176" t="s">
        <v>182</v>
      </c>
      <c r="B176" t="s">
        <v>308</v>
      </c>
      <c r="C176" t="s">
        <v>312</v>
      </c>
      <c r="D176" t="s">
        <v>320</v>
      </c>
      <c r="E176">
        <v>51</v>
      </c>
      <c r="F176">
        <v>68391</v>
      </c>
      <c r="G176">
        <v>9</v>
      </c>
      <c r="H176">
        <v>30161</v>
      </c>
    </row>
    <row r="177" spans="1:8">
      <c r="A177" t="s">
        <v>183</v>
      </c>
      <c r="B177" t="s">
        <v>308</v>
      </c>
      <c r="C177" t="s">
        <v>316</v>
      </c>
      <c r="D177" t="s">
        <v>322</v>
      </c>
      <c r="E177">
        <v>13</v>
      </c>
      <c r="F177">
        <v>5509</v>
      </c>
      <c r="G177">
        <v>23</v>
      </c>
      <c r="H177">
        <v>43187</v>
      </c>
    </row>
    <row r="178" spans="1:8">
      <c r="A178" t="s">
        <v>184</v>
      </c>
      <c r="B178" t="s">
        <v>309</v>
      </c>
      <c r="C178" t="s">
        <v>313</v>
      </c>
      <c r="D178" t="s">
        <v>317</v>
      </c>
      <c r="E178">
        <v>24</v>
      </c>
      <c r="F178">
        <v>8013</v>
      </c>
      <c r="G178">
        <v>6</v>
      </c>
      <c r="H178">
        <v>32985</v>
      </c>
    </row>
    <row r="179" spans="1:8">
      <c r="A179" t="s">
        <v>185</v>
      </c>
      <c r="B179" t="s">
        <v>308</v>
      </c>
      <c r="C179" t="s">
        <v>310</v>
      </c>
      <c r="D179" t="s">
        <v>322</v>
      </c>
      <c r="E179">
        <v>30</v>
      </c>
      <c r="F179">
        <v>28140</v>
      </c>
      <c r="G179">
        <v>40</v>
      </c>
      <c r="H179">
        <v>32013</v>
      </c>
    </row>
    <row r="180" spans="1:8">
      <c r="A180" t="s">
        <v>186</v>
      </c>
      <c r="B180" t="s">
        <v>308</v>
      </c>
      <c r="C180" t="s">
        <v>312</v>
      </c>
      <c r="D180" t="s">
        <v>318</v>
      </c>
      <c r="E180">
        <v>4</v>
      </c>
      <c r="F180">
        <v>21795</v>
      </c>
      <c r="G180">
        <v>32</v>
      </c>
      <c r="H180">
        <v>53497</v>
      </c>
    </row>
    <row r="181" spans="1:8">
      <c r="A181" t="s">
        <v>187</v>
      </c>
      <c r="B181" t="s">
        <v>308</v>
      </c>
      <c r="C181" t="s">
        <v>311</v>
      </c>
      <c r="D181" t="s">
        <v>322</v>
      </c>
      <c r="E181">
        <v>35</v>
      </c>
      <c r="F181">
        <v>63163</v>
      </c>
      <c r="G181">
        <v>23</v>
      </c>
      <c r="H181">
        <v>7746</v>
      </c>
    </row>
    <row r="182" spans="1:8">
      <c r="A182" t="s">
        <v>188</v>
      </c>
      <c r="B182" t="s">
        <v>308</v>
      </c>
      <c r="C182" t="s">
        <v>315</v>
      </c>
      <c r="D182" t="s">
        <v>322</v>
      </c>
      <c r="E182">
        <v>50</v>
      </c>
      <c r="F182">
        <v>96654</v>
      </c>
      <c r="G182">
        <v>19</v>
      </c>
      <c r="H182">
        <v>29608</v>
      </c>
    </row>
    <row r="183" spans="1:8">
      <c r="A183" t="s">
        <v>189</v>
      </c>
      <c r="B183" t="s">
        <v>308</v>
      </c>
      <c r="C183" t="s">
        <v>316</v>
      </c>
      <c r="D183" t="s">
        <v>321</v>
      </c>
      <c r="E183">
        <v>8</v>
      </c>
      <c r="F183">
        <v>116703</v>
      </c>
      <c r="G183">
        <v>5</v>
      </c>
      <c r="H183">
        <v>63679</v>
      </c>
    </row>
    <row r="184" spans="1:8">
      <c r="A184" t="s">
        <v>190</v>
      </c>
      <c r="B184" t="s">
        <v>308</v>
      </c>
      <c r="C184" t="s">
        <v>312</v>
      </c>
      <c r="D184" t="s">
        <v>317</v>
      </c>
      <c r="E184">
        <v>58</v>
      </c>
      <c r="F184">
        <v>35986</v>
      </c>
      <c r="G184">
        <v>20</v>
      </c>
      <c r="H184">
        <v>72752</v>
      </c>
    </row>
    <row r="185" spans="1:8">
      <c r="A185" t="s">
        <v>191</v>
      </c>
      <c r="B185" t="s">
        <v>308</v>
      </c>
      <c r="C185" t="s">
        <v>312</v>
      </c>
      <c r="D185" t="s">
        <v>322</v>
      </c>
      <c r="E185">
        <v>7</v>
      </c>
      <c r="F185">
        <v>110651</v>
      </c>
      <c r="G185">
        <v>7</v>
      </c>
      <c r="H185">
        <v>15726</v>
      </c>
    </row>
    <row r="186" spans="1:8">
      <c r="A186" t="s">
        <v>192</v>
      </c>
      <c r="B186" t="s">
        <v>309</v>
      </c>
      <c r="C186" t="s">
        <v>316</v>
      </c>
      <c r="D186" t="s">
        <v>317</v>
      </c>
      <c r="E186">
        <v>34</v>
      </c>
      <c r="F186">
        <v>47946</v>
      </c>
      <c r="G186">
        <v>7</v>
      </c>
      <c r="H186">
        <v>29055</v>
      </c>
    </row>
    <row r="187" spans="1:8">
      <c r="A187" t="s">
        <v>193</v>
      </c>
      <c r="B187" t="s">
        <v>308</v>
      </c>
      <c r="C187" t="s">
        <v>313</v>
      </c>
      <c r="D187" t="s">
        <v>322</v>
      </c>
      <c r="E187">
        <v>11</v>
      </c>
      <c r="F187">
        <v>72830</v>
      </c>
      <c r="G187">
        <v>22</v>
      </c>
      <c r="H187">
        <v>58531</v>
      </c>
    </row>
    <row r="188" spans="1:8">
      <c r="A188" t="s">
        <v>194</v>
      </c>
      <c r="B188" t="s">
        <v>308</v>
      </c>
      <c r="C188" t="s">
        <v>310</v>
      </c>
      <c r="D188" t="s">
        <v>320</v>
      </c>
      <c r="E188">
        <v>60</v>
      </c>
      <c r="F188">
        <v>97777</v>
      </c>
      <c r="G188">
        <v>31</v>
      </c>
      <c r="H188">
        <v>74138</v>
      </c>
    </row>
    <row r="189" spans="1:8">
      <c r="A189" t="s">
        <v>195</v>
      </c>
      <c r="B189" t="s">
        <v>308</v>
      </c>
      <c r="C189" t="s">
        <v>311</v>
      </c>
      <c r="D189" t="s">
        <v>321</v>
      </c>
      <c r="E189">
        <v>34</v>
      </c>
      <c r="F189">
        <v>58012</v>
      </c>
      <c r="G189">
        <v>13</v>
      </c>
      <c r="H189">
        <v>33502</v>
      </c>
    </row>
    <row r="190" spans="1:8">
      <c r="A190" t="s">
        <v>196</v>
      </c>
      <c r="B190" t="s">
        <v>308</v>
      </c>
      <c r="C190" t="s">
        <v>314</v>
      </c>
      <c r="D190" t="s">
        <v>322</v>
      </c>
      <c r="E190">
        <v>19</v>
      </c>
      <c r="F190">
        <v>71257</v>
      </c>
      <c r="G190">
        <v>8</v>
      </c>
      <c r="H190">
        <v>50243</v>
      </c>
    </row>
    <row r="191" spans="1:8">
      <c r="A191" t="s">
        <v>197</v>
      </c>
      <c r="B191" t="s">
        <v>308</v>
      </c>
      <c r="C191" t="s">
        <v>315</v>
      </c>
      <c r="D191" t="s">
        <v>320</v>
      </c>
      <c r="E191">
        <v>26</v>
      </c>
      <c r="F191">
        <v>101981</v>
      </c>
      <c r="G191">
        <v>22</v>
      </c>
      <c r="H191">
        <v>34267</v>
      </c>
    </row>
    <row r="192" spans="1:8">
      <c r="A192" t="s">
        <v>198</v>
      </c>
      <c r="B192" t="s">
        <v>308</v>
      </c>
      <c r="C192" t="s">
        <v>315</v>
      </c>
      <c r="D192" t="s">
        <v>318</v>
      </c>
      <c r="E192">
        <v>19</v>
      </c>
      <c r="F192">
        <v>116838</v>
      </c>
      <c r="G192">
        <v>9</v>
      </c>
      <c r="H192">
        <v>38392</v>
      </c>
    </row>
    <row r="193" spans="1:8">
      <c r="A193" t="s">
        <v>199</v>
      </c>
      <c r="B193" t="s">
        <v>308</v>
      </c>
      <c r="C193" t="s">
        <v>312</v>
      </c>
      <c r="D193" t="s">
        <v>321</v>
      </c>
      <c r="E193">
        <v>37</v>
      </c>
      <c r="F193">
        <v>50982</v>
      </c>
      <c r="G193">
        <v>26</v>
      </c>
      <c r="H193">
        <v>35790</v>
      </c>
    </row>
    <row r="194" spans="1:8">
      <c r="A194" t="s">
        <v>200</v>
      </c>
      <c r="B194" t="s">
        <v>309</v>
      </c>
      <c r="C194" t="s">
        <v>310</v>
      </c>
      <c r="D194" t="s">
        <v>318</v>
      </c>
      <c r="E194">
        <v>35</v>
      </c>
      <c r="F194">
        <v>28499</v>
      </c>
      <c r="G194">
        <v>8</v>
      </c>
      <c r="H194">
        <v>77875</v>
      </c>
    </row>
    <row r="195" spans="1:8">
      <c r="A195" t="s">
        <v>201</v>
      </c>
      <c r="B195" t="s">
        <v>308</v>
      </c>
      <c r="C195" t="s">
        <v>311</v>
      </c>
      <c r="D195" t="s">
        <v>320</v>
      </c>
      <c r="E195">
        <v>14</v>
      </c>
      <c r="F195">
        <v>86759</v>
      </c>
      <c r="G195">
        <v>5</v>
      </c>
      <c r="H195">
        <v>35817</v>
      </c>
    </row>
    <row r="196" spans="1:8">
      <c r="A196" t="s">
        <v>202</v>
      </c>
      <c r="B196" t="s">
        <v>308</v>
      </c>
      <c r="C196" t="s">
        <v>310</v>
      </c>
      <c r="D196" t="s">
        <v>318</v>
      </c>
      <c r="E196">
        <v>12</v>
      </c>
      <c r="F196">
        <v>30984</v>
      </c>
      <c r="G196">
        <v>13</v>
      </c>
      <c r="H196">
        <v>79158</v>
      </c>
    </row>
    <row r="197" spans="1:8">
      <c r="A197" t="s">
        <v>203</v>
      </c>
      <c r="B197" t="s">
        <v>308</v>
      </c>
      <c r="C197" t="s">
        <v>315</v>
      </c>
      <c r="D197" t="s">
        <v>319</v>
      </c>
      <c r="E197">
        <v>31</v>
      </c>
      <c r="F197">
        <v>107599</v>
      </c>
      <c r="G197">
        <v>31</v>
      </c>
      <c r="H197">
        <v>63402</v>
      </c>
    </row>
    <row r="198" spans="1:8">
      <c r="A198" t="s">
        <v>204</v>
      </c>
      <c r="B198" t="s">
        <v>308</v>
      </c>
      <c r="C198" t="s">
        <v>315</v>
      </c>
      <c r="D198" t="s">
        <v>319</v>
      </c>
      <c r="E198">
        <v>15</v>
      </c>
      <c r="F198">
        <v>13365</v>
      </c>
      <c r="G198">
        <v>5</v>
      </c>
      <c r="H198">
        <v>4178</v>
      </c>
    </row>
    <row r="199" spans="1:8">
      <c r="A199" t="s">
        <v>205</v>
      </c>
      <c r="B199" t="s">
        <v>309</v>
      </c>
      <c r="C199" t="s">
        <v>314</v>
      </c>
      <c r="D199" t="s">
        <v>321</v>
      </c>
      <c r="E199">
        <v>8</v>
      </c>
      <c r="F199">
        <v>51634</v>
      </c>
      <c r="G199">
        <v>22</v>
      </c>
      <c r="H199">
        <v>38397</v>
      </c>
    </row>
    <row r="200" spans="1:8">
      <c r="A200" t="s">
        <v>206</v>
      </c>
      <c r="B200" t="s">
        <v>308</v>
      </c>
      <c r="C200" t="s">
        <v>311</v>
      </c>
      <c r="D200" t="s">
        <v>321</v>
      </c>
      <c r="E200">
        <v>15</v>
      </c>
      <c r="F200">
        <v>42108</v>
      </c>
      <c r="G200">
        <v>8</v>
      </c>
      <c r="H200">
        <v>19083</v>
      </c>
    </row>
    <row r="201" spans="1:8">
      <c r="A201" t="s">
        <v>207</v>
      </c>
      <c r="B201" t="s">
        <v>309</v>
      </c>
      <c r="C201" t="s">
        <v>315</v>
      </c>
      <c r="D201" t="s">
        <v>317</v>
      </c>
      <c r="E201">
        <v>45</v>
      </c>
      <c r="F201">
        <v>73638</v>
      </c>
      <c r="G201">
        <v>24</v>
      </c>
      <c r="H201">
        <v>43196</v>
      </c>
    </row>
    <row r="202" spans="1:8">
      <c r="A202" t="s">
        <v>208</v>
      </c>
      <c r="B202" t="s">
        <v>308</v>
      </c>
      <c r="C202" t="s">
        <v>310</v>
      </c>
      <c r="D202" t="s">
        <v>321</v>
      </c>
      <c r="E202">
        <v>14</v>
      </c>
      <c r="F202">
        <v>20416</v>
      </c>
      <c r="G202">
        <v>7</v>
      </c>
      <c r="H202">
        <v>31171</v>
      </c>
    </row>
    <row r="203" spans="1:8">
      <c r="A203" t="s">
        <v>209</v>
      </c>
      <c r="B203" t="s">
        <v>308</v>
      </c>
      <c r="C203" t="s">
        <v>310</v>
      </c>
      <c r="D203" t="s">
        <v>320</v>
      </c>
      <c r="E203">
        <v>30</v>
      </c>
      <c r="F203">
        <v>71381</v>
      </c>
      <c r="G203">
        <v>26</v>
      </c>
      <c r="H203">
        <v>25987</v>
      </c>
    </row>
    <row r="204" spans="1:8">
      <c r="A204" t="s">
        <v>210</v>
      </c>
      <c r="B204" t="s">
        <v>308</v>
      </c>
      <c r="C204" t="s">
        <v>314</v>
      </c>
      <c r="D204" t="s">
        <v>322</v>
      </c>
      <c r="E204">
        <v>54</v>
      </c>
      <c r="F204">
        <v>25936</v>
      </c>
      <c r="G204">
        <v>5</v>
      </c>
      <c r="H204">
        <v>53911</v>
      </c>
    </row>
    <row r="205" spans="1:8">
      <c r="A205" t="s">
        <v>211</v>
      </c>
      <c r="B205" t="s">
        <v>308</v>
      </c>
      <c r="C205" t="s">
        <v>310</v>
      </c>
      <c r="D205" t="s">
        <v>319</v>
      </c>
      <c r="E205">
        <v>16</v>
      </c>
      <c r="F205">
        <v>15923</v>
      </c>
      <c r="G205">
        <v>4</v>
      </c>
      <c r="H205">
        <v>66334</v>
      </c>
    </row>
    <row r="206" spans="1:8">
      <c r="A206" t="s">
        <v>212</v>
      </c>
      <c r="B206" t="s">
        <v>308</v>
      </c>
      <c r="C206" t="s">
        <v>311</v>
      </c>
      <c r="D206" t="s">
        <v>321</v>
      </c>
      <c r="E206">
        <v>14</v>
      </c>
      <c r="F206">
        <v>12356</v>
      </c>
      <c r="G206">
        <v>6</v>
      </c>
      <c r="H206">
        <v>7343</v>
      </c>
    </row>
    <row r="207" spans="1:8">
      <c r="A207" t="s">
        <v>213</v>
      </c>
      <c r="B207" t="s">
        <v>309</v>
      </c>
      <c r="C207" t="s">
        <v>310</v>
      </c>
      <c r="D207" t="s">
        <v>322</v>
      </c>
      <c r="E207">
        <v>25</v>
      </c>
      <c r="F207">
        <v>99756</v>
      </c>
      <c r="G207">
        <v>9</v>
      </c>
      <c r="H207">
        <v>15689</v>
      </c>
    </row>
    <row r="208" spans="1:8">
      <c r="A208" t="s">
        <v>214</v>
      </c>
      <c r="B208" t="s">
        <v>308</v>
      </c>
      <c r="C208" t="s">
        <v>316</v>
      </c>
      <c r="D208" t="s">
        <v>319</v>
      </c>
      <c r="E208">
        <v>56</v>
      </c>
      <c r="F208">
        <v>86454</v>
      </c>
      <c r="G208">
        <v>9</v>
      </c>
      <c r="H208">
        <v>15371</v>
      </c>
    </row>
    <row r="209" spans="1:8">
      <c r="A209" t="s">
        <v>215</v>
      </c>
      <c r="B209" t="s">
        <v>308</v>
      </c>
      <c r="C209" t="s">
        <v>314</v>
      </c>
      <c r="D209" t="s">
        <v>321</v>
      </c>
      <c r="E209">
        <v>15</v>
      </c>
      <c r="F209">
        <v>15982</v>
      </c>
      <c r="G209">
        <v>21</v>
      </c>
      <c r="H209">
        <v>58627</v>
      </c>
    </row>
    <row r="210" spans="1:8">
      <c r="A210" t="s">
        <v>216</v>
      </c>
      <c r="B210" t="s">
        <v>308</v>
      </c>
      <c r="C210" t="s">
        <v>310</v>
      </c>
      <c r="D210" t="s">
        <v>318</v>
      </c>
      <c r="E210">
        <v>25</v>
      </c>
      <c r="F210">
        <v>106270</v>
      </c>
      <c r="G210">
        <v>3</v>
      </c>
      <c r="H210">
        <v>40972</v>
      </c>
    </row>
    <row r="211" spans="1:8">
      <c r="A211" t="s">
        <v>217</v>
      </c>
      <c r="B211" t="s">
        <v>308</v>
      </c>
      <c r="C211" t="s">
        <v>310</v>
      </c>
      <c r="D211" t="s">
        <v>319</v>
      </c>
      <c r="E211">
        <v>41</v>
      </c>
      <c r="F211">
        <v>50899</v>
      </c>
      <c r="G211">
        <v>24</v>
      </c>
      <c r="H211">
        <v>43106</v>
      </c>
    </row>
    <row r="212" spans="1:8">
      <c r="A212" t="s">
        <v>218</v>
      </c>
      <c r="B212" t="s">
        <v>308</v>
      </c>
      <c r="C212" t="s">
        <v>316</v>
      </c>
      <c r="D212" t="s">
        <v>321</v>
      </c>
      <c r="E212">
        <v>37</v>
      </c>
      <c r="F212">
        <v>117349</v>
      </c>
      <c r="G212">
        <v>17</v>
      </c>
      <c r="H212">
        <v>39106</v>
      </c>
    </row>
    <row r="213" spans="1:8">
      <c r="A213" t="s">
        <v>219</v>
      </c>
      <c r="B213" t="s">
        <v>308</v>
      </c>
      <c r="C213" t="s">
        <v>316</v>
      </c>
      <c r="D213" t="s">
        <v>317</v>
      </c>
      <c r="E213">
        <v>9</v>
      </c>
      <c r="F213">
        <v>112341</v>
      </c>
      <c r="G213">
        <v>28</v>
      </c>
      <c r="H213">
        <v>26053</v>
      </c>
    </row>
    <row r="214" spans="1:8">
      <c r="A214" t="s">
        <v>220</v>
      </c>
      <c r="B214" t="s">
        <v>308</v>
      </c>
      <c r="C214" t="s">
        <v>315</v>
      </c>
      <c r="D214" t="s">
        <v>320</v>
      </c>
      <c r="E214">
        <v>9</v>
      </c>
      <c r="F214">
        <v>57204</v>
      </c>
      <c r="G214">
        <v>3</v>
      </c>
      <c r="H214">
        <v>23253</v>
      </c>
    </row>
    <row r="215" spans="1:8">
      <c r="A215" t="s">
        <v>221</v>
      </c>
      <c r="B215" t="s">
        <v>308</v>
      </c>
      <c r="C215" t="s">
        <v>313</v>
      </c>
      <c r="D215" t="s">
        <v>318</v>
      </c>
      <c r="E215">
        <v>25</v>
      </c>
      <c r="F215">
        <v>63140</v>
      </c>
      <c r="G215">
        <v>39</v>
      </c>
      <c r="H215">
        <v>40190</v>
      </c>
    </row>
    <row r="216" spans="1:8">
      <c r="A216" t="s">
        <v>222</v>
      </c>
      <c r="B216" t="s">
        <v>308</v>
      </c>
      <c r="C216" t="s">
        <v>311</v>
      </c>
      <c r="D216" t="s">
        <v>320</v>
      </c>
      <c r="E216">
        <v>14</v>
      </c>
      <c r="F216">
        <v>24623</v>
      </c>
      <c r="G216">
        <v>37</v>
      </c>
      <c r="H216">
        <v>75626</v>
      </c>
    </row>
    <row r="217" spans="1:8">
      <c r="A217" t="s">
        <v>223</v>
      </c>
      <c r="B217" t="s">
        <v>309</v>
      </c>
      <c r="C217" t="s">
        <v>314</v>
      </c>
      <c r="D217" t="s">
        <v>319</v>
      </c>
      <c r="E217">
        <v>45</v>
      </c>
      <c r="F217">
        <v>65851</v>
      </c>
      <c r="G217">
        <v>34</v>
      </c>
      <c r="H217">
        <v>50398</v>
      </c>
    </row>
    <row r="218" spans="1:8">
      <c r="A218" t="s">
        <v>224</v>
      </c>
      <c r="B218" t="s">
        <v>308</v>
      </c>
      <c r="C218" t="s">
        <v>314</v>
      </c>
      <c r="D218" t="s">
        <v>318</v>
      </c>
      <c r="E218">
        <v>4</v>
      </c>
      <c r="F218">
        <v>109373</v>
      </c>
      <c r="G218">
        <v>37</v>
      </c>
      <c r="H218">
        <v>25665</v>
      </c>
    </row>
    <row r="219" spans="1:8">
      <c r="A219" t="s">
        <v>225</v>
      </c>
      <c r="B219" t="s">
        <v>309</v>
      </c>
      <c r="C219" t="s">
        <v>312</v>
      </c>
      <c r="D219" t="s">
        <v>322</v>
      </c>
      <c r="E219">
        <v>19</v>
      </c>
      <c r="F219">
        <v>90352</v>
      </c>
      <c r="G219">
        <v>22</v>
      </c>
      <c r="H219">
        <v>59777</v>
      </c>
    </row>
    <row r="220" spans="1:8">
      <c r="A220" t="s">
        <v>226</v>
      </c>
      <c r="B220" t="s">
        <v>308</v>
      </c>
      <c r="C220" t="s">
        <v>315</v>
      </c>
      <c r="D220" t="s">
        <v>321</v>
      </c>
      <c r="E220">
        <v>53</v>
      </c>
      <c r="F220">
        <v>93646</v>
      </c>
      <c r="G220">
        <v>1</v>
      </c>
      <c r="H220">
        <v>61530</v>
      </c>
    </row>
    <row r="221" spans="1:8">
      <c r="A221" t="s">
        <v>227</v>
      </c>
      <c r="B221" t="s">
        <v>309</v>
      </c>
      <c r="C221" t="s">
        <v>311</v>
      </c>
      <c r="D221" t="s">
        <v>321</v>
      </c>
      <c r="E221">
        <v>9</v>
      </c>
      <c r="F221">
        <v>43163</v>
      </c>
      <c r="G221">
        <v>3</v>
      </c>
      <c r="H221">
        <v>5480</v>
      </c>
    </row>
    <row r="222" spans="1:8">
      <c r="A222" t="s">
        <v>228</v>
      </c>
      <c r="B222" t="s">
        <v>308</v>
      </c>
      <c r="C222" t="s">
        <v>310</v>
      </c>
      <c r="D222" t="s">
        <v>319</v>
      </c>
      <c r="E222">
        <v>25</v>
      </c>
      <c r="F222">
        <v>107101</v>
      </c>
      <c r="G222">
        <v>1</v>
      </c>
      <c r="H222">
        <v>22717</v>
      </c>
    </row>
    <row r="223" spans="1:8">
      <c r="A223" t="s">
        <v>229</v>
      </c>
      <c r="B223" t="s">
        <v>309</v>
      </c>
      <c r="C223" t="s">
        <v>316</v>
      </c>
      <c r="D223" t="s">
        <v>320</v>
      </c>
      <c r="E223">
        <v>4</v>
      </c>
      <c r="F223">
        <v>100097</v>
      </c>
      <c r="G223">
        <v>4</v>
      </c>
      <c r="H223">
        <v>20207</v>
      </c>
    </row>
    <row r="224" spans="1:8">
      <c r="A224" t="s">
        <v>230</v>
      </c>
      <c r="B224" t="s">
        <v>308</v>
      </c>
      <c r="C224" t="s">
        <v>315</v>
      </c>
      <c r="D224" t="s">
        <v>322</v>
      </c>
      <c r="E224">
        <v>17</v>
      </c>
      <c r="F224">
        <v>82390</v>
      </c>
      <c r="G224">
        <v>35</v>
      </c>
      <c r="H224">
        <v>70790</v>
      </c>
    </row>
    <row r="225" spans="1:8">
      <c r="A225" t="s">
        <v>231</v>
      </c>
      <c r="B225" t="s">
        <v>308</v>
      </c>
      <c r="C225" t="s">
        <v>314</v>
      </c>
      <c r="D225" t="s">
        <v>319</v>
      </c>
      <c r="E225">
        <v>45</v>
      </c>
      <c r="F225">
        <v>95624</v>
      </c>
      <c r="G225">
        <v>19</v>
      </c>
      <c r="H225">
        <v>36952</v>
      </c>
    </row>
    <row r="226" spans="1:8">
      <c r="A226" t="s">
        <v>232</v>
      </c>
      <c r="B226" t="s">
        <v>308</v>
      </c>
      <c r="C226" t="s">
        <v>310</v>
      </c>
      <c r="D226" t="s">
        <v>317</v>
      </c>
      <c r="E226">
        <v>4</v>
      </c>
      <c r="F226">
        <v>95391</v>
      </c>
      <c r="G226">
        <v>13</v>
      </c>
      <c r="H226">
        <v>54479</v>
      </c>
    </row>
    <row r="227" spans="1:8">
      <c r="A227" t="s">
        <v>233</v>
      </c>
      <c r="B227" t="s">
        <v>308</v>
      </c>
      <c r="C227" t="s">
        <v>313</v>
      </c>
      <c r="D227" t="s">
        <v>322</v>
      </c>
      <c r="E227">
        <v>32</v>
      </c>
      <c r="F227">
        <v>57022</v>
      </c>
      <c r="G227">
        <v>5</v>
      </c>
      <c r="H227">
        <v>39034</v>
      </c>
    </row>
    <row r="228" spans="1:8">
      <c r="A228" t="s">
        <v>234</v>
      </c>
      <c r="B228" t="s">
        <v>308</v>
      </c>
      <c r="C228" t="s">
        <v>310</v>
      </c>
      <c r="D228" t="s">
        <v>318</v>
      </c>
      <c r="E228">
        <v>37</v>
      </c>
      <c r="F228">
        <v>14502</v>
      </c>
      <c r="G228">
        <v>33</v>
      </c>
      <c r="H228">
        <v>49258</v>
      </c>
    </row>
    <row r="229" spans="1:8">
      <c r="A229" t="s">
        <v>235</v>
      </c>
      <c r="B229" t="s">
        <v>309</v>
      </c>
      <c r="C229" t="s">
        <v>310</v>
      </c>
      <c r="D229" t="s">
        <v>318</v>
      </c>
      <c r="E229">
        <v>9</v>
      </c>
      <c r="F229">
        <v>84968</v>
      </c>
      <c r="G229">
        <v>5</v>
      </c>
      <c r="H229">
        <v>32036</v>
      </c>
    </row>
    <row r="230" spans="1:8">
      <c r="A230" t="s">
        <v>236</v>
      </c>
      <c r="B230" t="s">
        <v>308</v>
      </c>
      <c r="C230" t="s">
        <v>314</v>
      </c>
      <c r="D230" t="s">
        <v>318</v>
      </c>
      <c r="E230">
        <v>35</v>
      </c>
      <c r="F230">
        <v>58553</v>
      </c>
      <c r="G230">
        <v>39</v>
      </c>
      <c r="H230">
        <v>53479</v>
      </c>
    </row>
    <row r="231" spans="1:8">
      <c r="A231" t="s">
        <v>237</v>
      </c>
      <c r="B231" t="s">
        <v>308</v>
      </c>
      <c r="C231" t="s">
        <v>316</v>
      </c>
      <c r="D231" t="s">
        <v>319</v>
      </c>
      <c r="E231">
        <v>48</v>
      </c>
      <c r="F231">
        <v>109821</v>
      </c>
      <c r="G231">
        <v>25</v>
      </c>
      <c r="H231">
        <v>21240</v>
      </c>
    </row>
    <row r="232" spans="1:8">
      <c r="A232" t="s">
        <v>238</v>
      </c>
      <c r="B232" t="s">
        <v>308</v>
      </c>
      <c r="C232" t="s">
        <v>314</v>
      </c>
      <c r="D232" t="s">
        <v>317</v>
      </c>
      <c r="E232">
        <v>27</v>
      </c>
      <c r="F232">
        <v>18945</v>
      </c>
      <c r="G232">
        <v>13</v>
      </c>
      <c r="H232">
        <v>11341</v>
      </c>
    </row>
    <row r="233" spans="1:8">
      <c r="A233" t="s">
        <v>239</v>
      </c>
      <c r="B233" t="s">
        <v>308</v>
      </c>
      <c r="C233" t="s">
        <v>314</v>
      </c>
      <c r="D233" t="s">
        <v>322</v>
      </c>
      <c r="E233">
        <v>6</v>
      </c>
      <c r="F233">
        <v>95415</v>
      </c>
      <c r="G233">
        <v>6</v>
      </c>
      <c r="H233">
        <v>15366</v>
      </c>
    </row>
    <row r="234" spans="1:8">
      <c r="A234" t="s">
        <v>240</v>
      </c>
      <c r="B234" t="s">
        <v>308</v>
      </c>
      <c r="C234" t="s">
        <v>315</v>
      </c>
      <c r="D234" t="s">
        <v>321</v>
      </c>
      <c r="E234">
        <v>55</v>
      </c>
      <c r="F234">
        <v>100889</v>
      </c>
      <c r="G234">
        <v>24</v>
      </c>
      <c r="H234">
        <v>24885</v>
      </c>
    </row>
    <row r="235" spans="1:8">
      <c r="A235" t="s">
        <v>241</v>
      </c>
      <c r="B235" t="s">
        <v>308</v>
      </c>
      <c r="C235" t="s">
        <v>312</v>
      </c>
      <c r="D235" t="s">
        <v>319</v>
      </c>
      <c r="E235">
        <v>40</v>
      </c>
      <c r="F235">
        <v>66424</v>
      </c>
      <c r="G235">
        <v>21</v>
      </c>
      <c r="H235">
        <v>20945</v>
      </c>
    </row>
    <row r="236" spans="1:8">
      <c r="A236" t="s">
        <v>242</v>
      </c>
      <c r="B236" t="s">
        <v>308</v>
      </c>
      <c r="C236" t="s">
        <v>315</v>
      </c>
      <c r="D236" t="s">
        <v>319</v>
      </c>
      <c r="E236">
        <v>12</v>
      </c>
      <c r="F236">
        <v>13832</v>
      </c>
      <c r="G236">
        <v>38</v>
      </c>
      <c r="H236">
        <v>69323</v>
      </c>
    </row>
    <row r="237" spans="1:8">
      <c r="A237" t="s">
        <v>243</v>
      </c>
      <c r="B237" t="s">
        <v>309</v>
      </c>
      <c r="C237" t="s">
        <v>314</v>
      </c>
      <c r="D237" t="s">
        <v>322</v>
      </c>
      <c r="E237">
        <v>33</v>
      </c>
      <c r="F237">
        <v>26367</v>
      </c>
      <c r="G237">
        <v>35</v>
      </c>
      <c r="H237">
        <v>49504</v>
      </c>
    </row>
    <row r="238" spans="1:8">
      <c r="A238" t="s">
        <v>244</v>
      </c>
      <c r="B238" t="s">
        <v>309</v>
      </c>
      <c r="C238" t="s">
        <v>316</v>
      </c>
      <c r="D238" t="s">
        <v>317</v>
      </c>
      <c r="E238">
        <v>31</v>
      </c>
      <c r="F238">
        <v>109402</v>
      </c>
      <c r="G238">
        <v>10</v>
      </c>
      <c r="H238">
        <v>51836</v>
      </c>
    </row>
    <row r="239" spans="1:8">
      <c r="A239" t="s">
        <v>245</v>
      </c>
      <c r="B239" t="s">
        <v>308</v>
      </c>
      <c r="C239" t="s">
        <v>310</v>
      </c>
      <c r="D239" t="s">
        <v>317</v>
      </c>
      <c r="E239">
        <v>11</v>
      </c>
      <c r="F239">
        <v>114837</v>
      </c>
      <c r="G239">
        <v>8</v>
      </c>
      <c r="H239">
        <v>77893</v>
      </c>
    </row>
    <row r="240" spans="1:8">
      <c r="A240" t="s">
        <v>246</v>
      </c>
      <c r="B240" t="s">
        <v>308</v>
      </c>
      <c r="C240" t="s">
        <v>315</v>
      </c>
      <c r="D240" t="s">
        <v>317</v>
      </c>
      <c r="E240">
        <v>29</v>
      </c>
      <c r="F240">
        <v>92715</v>
      </c>
      <c r="G240">
        <v>39</v>
      </c>
      <c r="H240">
        <v>2262</v>
      </c>
    </row>
    <row r="241" spans="1:8">
      <c r="A241" t="s">
        <v>247</v>
      </c>
      <c r="B241" t="s">
        <v>308</v>
      </c>
      <c r="C241" t="s">
        <v>313</v>
      </c>
      <c r="D241" t="s">
        <v>319</v>
      </c>
      <c r="E241">
        <v>6</v>
      </c>
      <c r="F241">
        <v>87755</v>
      </c>
      <c r="G241">
        <v>22</v>
      </c>
      <c r="H241">
        <v>29300</v>
      </c>
    </row>
    <row r="242" spans="1:8">
      <c r="A242" t="s">
        <v>248</v>
      </c>
      <c r="B242" t="s">
        <v>308</v>
      </c>
      <c r="C242" t="s">
        <v>314</v>
      </c>
      <c r="D242" t="s">
        <v>318</v>
      </c>
      <c r="E242">
        <v>9</v>
      </c>
      <c r="F242">
        <v>91903</v>
      </c>
      <c r="G242">
        <v>5</v>
      </c>
      <c r="H242">
        <v>40588</v>
      </c>
    </row>
    <row r="243" spans="1:8">
      <c r="A243" t="s">
        <v>249</v>
      </c>
      <c r="B243" t="s">
        <v>308</v>
      </c>
      <c r="C243" t="s">
        <v>315</v>
      </c>
      <c r="D243" t="s">
        <v>320</v>
      </c>
      <c r="E243">
        <v>53</v>
      </c>
      <c r="F243">
        <v>15145</v>
      </c>
      <c r="G243">
        <v>14</v>
      </c>
      <c r="H243">
        <v>48786</v>
      </c>
    </row>
    <row r="244" spans="1:8">
      <c r="A244" t="s">
        <v>250</v>
      </c>
      <c r="B244" t="s">
        <v>308</v>
      </c>
      <c r="C244" t="s">
        <v>313</v>
      </c>
      <c r="D244" t="s">
        <v>320</v>
      </c>
      <c r="E244">
        <v>50</v>
      </c>
      <c r="F244">
        <v>73124</v>
      </c>
      <c r="G244">
        <v>29</v>
      </c>
      <c r="H244">
        <v>17855</v>
      </c>
    </row>
    <row r="245" spans="1:8">
      <c r="A245" t="s">
        <v>251</v>
      </c>
      <c r="B245" t="s">
        <v>309</v>
      </c>
      <c r="C245" t="s">
        <v>313</v>
      </c>
      <c r="D245" t="s">
        <v>322</v>
      </c>
      <c r="E245">
        <v>48</v>
      </c>
      <c r="F245">
        <v>113205</v>
      </c>
      <c r="G245">
        <v>33</v>
      </c>
      <c r="H245">
        <v>21790</v>
      </c>
    </row>
    <row r="246" spans="1:8">
      <c r="A246" t="s">
        <v>252</v>
      </c>
      <c r="B246" t="s">
        <v>308</v>
      </c>
      <c r="C246" t="s">
        <v>312</v>
      </c>
      <c r="D246" t="s">
        <v>320</v>
      </c>
      <c r="E246">
        <v>14</v>
      </c>
      <c r="F246">
        <v>61515</v>
      </c>
      <c r="G246">
        <v>18</v>
      </c>
      <c r="H246">
        <v>54929</v>
      </c>
    </row>
    <row r="247" spans="1:8">
      <c r="A247" t="s">
        <v>253</v>
      </c>
      <c r="B247" t="s">
        <v>308</v>
      </c>
      <c r="C247" t="s">
        <v>313</v>
      </c>
      <c r="D247" t="s">
        <v>319</v>
      </c>
      <c r="E247">
        <v>58</v>
      </c>
      <c r="F247">
        <v>16887</v>
      </c>
      <c r="G247">
        <v>13</v>
      </c>
      <c r="H247">
        <v>45608</v>
      </c>
    </row>
    <row r="248" spans="1:8">
      <c r="A248" t="s">
        <v>254</v>
      </c>
      <c r="B248" t="s">
        <v>308</v>
      </c>
      <c r="C248" t="s">
        <v>312</v>
      </c>
      <c r="D248" t="s">
        <v>320</v>
      </c>
      <c r="E248">
        <v>35</v>
      </c>
      <c r="F248">
        <v>5314</v>
      </c>
      <c r="G248">
        <v>25</v>
      </c>
      <c r="H248">
        <v>67830</v>
      </c>
    </row>
    <row r="249" spans="1:8">
      <c r="A249" t="s">
        <v>255</v>
      </c>
      <c r="B249" t="s">
        <v>308</v>
      </c>
      <c r="C249" t="s">
        <v>311</v>
      </c>
      <c r="D249" t="s">
        <v>322</v>
      </c>
      <c r="E249">
        <v>31</v>
      </c>
      <c r="F249">
        <v>80515</v>
      </c>
      <c r="G249">
        <v>34</v>
      </c>
      <c r="H249">
        <v>43536</v>
      </c>
    </row>
    <row r="250" spans="1:8">
      <c r="A250" t="s">
        <v>256</v>
      </c>
      <c r="B250" t="s">
        <v>308</v>
      </c>
      <c r="C250" t="s">
        <v>315</v>
      </c>
      <c r="D250" t="s">
        <v>317</v>
      </c>
      <c r="E250">
        <v>5</v>
      </c>
      <c r="F250">
        <v>19559</v>
      </c>
      <c r="G250">
        <v>4</v>
      </c>
      <c r="H250">
        <v>49084</v>
      </c>
    </row>
    <row r="251" spans="1:8">
      <c r="A251" t="s">
        <v>257</v>
      </c>
      <c r="B251" t="s">
        <v>309</v>
      </c>
      <c r="C251" t="s">
        <v>311</v>
      </c>
      <c r="D251" t="s">
        <v>321</v>
      </c>
      <c r="E251">
        <v>30</v>
      </c>
      <c r="F251">
        <v>89735</v>
      </c>
      <c r="G251">
        <v>30</v>
      </c>
      <c r="H251">
        <v>61434</v>
      </c>
    </row>
    <row r="252" spans="1:8">
      <c r="A252" t="s">
        <v>258</v>
      </c>
      <c r="B252" t="s">
        <v>308</v>
      </c>
      <c r="C252" t="s">
        <v>311</v>
      </c>
      <c r="D252" t="s">
        <v>319</v>
      </c>
      <c r="E252">
        <v>33</v>
      </c>
      <c r="F252">
        <v>7816</v>
      </c>
      <c r="G252">
        <v>7</v>
      </c>
      <c r="H252">
        <v>17829</v>
      </c>
    </row>
    <row r="253" spans="1:8">
      <c r="A253" t="s">
        <v>259</v>
      </c>
      <c r="B253" t="s">
        <v>309</v>
      </c>
      <c r="C253" t="s">
        <v>315</v>
      </c>
      <c r="D253" t="s">
        <v>321</v>
      </c>
      <c r="E253">
        <v>52</v>
      </c>
      <c r="F253">
        <v>5935</v>
      </c>
      <c r="G253">
        <v>27</v>
      </c>
      <c r="H253">
        <v>55181</v>
      </c>
    </row>
    <row r="254" spans="1:8">
      <c r="A254" t="s">
        <v>260</v>
      </c>
      <c r="B254" t="s">
        <v>309</v>
      </c>
      <c r="C254" t="s">
        <v>312</v>
      </c>
      <c r="D254" t="s">
        <v>318</v>
      </c>
      <c r="E254">
        <v>45</v>
      </c>
      <c r="F254">
        <v>38673</v>
      </c>
      <c r="G254">
        <v>34</v>
      </c>
      <c r="H254">
        <v>43024</v>
      </c>
    </row>
    <row r="255" spans="1:8">
      <c r="A255" t="s">
        <v>261</v>
      </c>
      <c r="B255" t="s">
        <v>308</v>
      </c>
      <c r="C255" t="s">
        <v>311</v>
      </c>
      <c r="D255" t="s">
        <v>322</v>
      </c>
      <c r="E255">
        <v>54</v>
      </c>
      <c r="F255">
        <v>13656</v>
      </c>
      <c r="G255">
        <v>34</v>
      </c>
      <c r="H255">
        <v>3862</v>
      </c>
    </row>
    <row r="256" spans="1:8">
      <c r="A256" t="s">
        <v>262</v>
      </c>
      <c r="B256" t="s">
        <v>309</v>
      </c>
      <c r="C256" t="s">
        <v>314</v>
      </c>
      <c r="D256" t="s">
        <v>321</v>
      </c>
      <c r="E256">
        <v>29</v>
      </c>
      <c r="F256">
        <v>52784</v>
      </c>
      <c r="G256">
        <v>24</v>
      </c>
      <c r="H256">
        <v>20452</v>
      </c>
    </row>
    <row r="257" spans="1:8">
      <c r="A257" t="s">
        <v>263</v>
      </c>
      <c r="B257" t="s">
        <v>309</v>
      </c>
      <c r="C257" t="s">
        <v>314</v>
      </c>
      <c r="D257" t="s">
        <v>317</v>
      </c>
      <c r="E257">
        <v>11</v>
      </c>
      <c r="F257">
        <v>58547</v>
      </c>
      <c r="G257">
        <v>26</v>
      </c>
      <c r="H257">
        <v>65530</v>
      </c>
    </row>
    <row r="258" spans="1:8">
      <c r="A258" t="s">
        <v>264</v>
      </c>
      <c r="B258" t="s">
        <v>308</v>
      </c>
      <c r="C258" t="s">
        <v>314</v>
      </c>
      <c r="D258" t="s">
        <v>320</v>
      </c>
      <c r="E258">
        <v>12</v>
      </c>
      <c r="F258">
        <v>27596</v>
      </c>
      <c r="G258">
        <v>29</v>
      </c>
      <c r="H258">
        <v>31675</v>
      </c>
    </row>
    <row r="259" spans="1:8">
      <c r="A259" t="s">
        <v>265</v>
      </c>
      <c r="B259" t="s">
        <v>308</v>
      </c>
      <c r="C259" t="s">
        <v>315</v>
      </c>
      <c r="D259" t="s">
        <v>320</v>
      </c>
      <c r="E259">
        <v>14</v>
      </c>
      <c r="F259">
        <v>59811</v>
      </c>
      <c r="G259">
        <v>7</v>
      </c>
      <c r="H259">
        <v>21087</v>
      </c>
    </row>
    <row r="260" spans="1:8">
      <c r="A260" t="s">
        <v>266</v>
      </c>
      <c r="B260" t="s">
        <v>308</v>
      </c>
      <c r="C260" t="s">
        <v>316</v>
      </c>
      <c r="D260" t="s">
        <v>319</v>
      </c>
      <c r="E260">
        <v>27</v>
      </c>
      <c r="F260">
        <v>94906</v>
      </c>
      <c r="G260">
        <v>8</v>
      </c>
      <c r="H260">
        <v>45272</v>
      </c>
    </row>
    <row r="261" spans="1:8">
      <c r="A261" t="s">
        <v>267</v>
      </c>
      <c r="B261" t="s">
        <v>309</v>
      </c>
      <c r="C261" t="s">
        <v>312</v>
      </c>
      <c r="D261" t="s">
        <v>320</v>
      </c>
      <c r="E261">
        <v>9</v>
      </c>
      <c r="F261">
        <v>66076</v>
      </c>
      <c r="G261">
        <v>27</v>
      </c>
      <c r="H261">
        <v>15603</v>
      </c>
    </row>
    <row r="262" spans="1:8">
      <c r="A262" t="s">
        <v>268</v>
      </c>
      <c r="B262" t="s">
        <v>308</v>
      </c>
      <c r="C262" t="s">
        <v>312</v>
      </c>
      <c r="D262" t="s">
        <v>320</v>
      </c>
      <c r="E262">
        <v>3</v>
      </c>
      <c r="F262">
        <v>86201</v>
      </c>
      <c r="G262">
        <v>8</v>
      </c>
      <c r="H262">
        <v>19519</v>
      </c>
    </row>
    <row r="263" spans="1:8">
      <c r="A263" t="s">
        <v>269</v>
      </c>
      <c r="B263" t="s">
        <v>308</v>
      </c>
      <c r="C263" t="s">
        <v>312</v>
      </c>
      <c r="D263" t="s">
        <v>322</v>
      </c>
      <c r="E263">
        <v>24</v>
      </c>
      <c r="F263">
        <v>89553</v>
      </c>
      <c r="G263">
        <v>2</v>
      </c>
      <c r="H263">
        <v>37366</v>
      </c>
    </row>
    <row r="264" spans="1:8">
      <c r="A264" t="s">
        <v>270</v>
      </c>
      <c r="B264" t="s">
        <v>308</v>
      </c>
      <c r="C264" t="s">
        <v>314</v>
      </c>
      <c r="D264" t="s">
        <v>321</v>
      </c>
      <c r="E264">
        <v>45</v>
      </c>
      <c r="F264">
        <v>38776</v>
      </c>
      <c r="G264">
        <v>19</v>
      </c>
      <c r="H264">
        <v>19369</v>
      </c>
    </row>
    <row r="265" spans="1:8">
      <c r="A265" t="s">
        <v>271</v>
      </c>
      <c r="B265" t="s">
        <v>308</v>
      </c>
      <c r="C265" t="s">
        <v>310</v>
      </c>
      <c r="D265" t="s">
        <v>321</v>
      </c>
      <c r="E265">
        <v>30</v>
      </c>
      <c r="F265">
        <v>79019</v>
      </c>
      <c r="G265">
        <v>8</v>
      </c>
      <c r="H265">
        <v>29493</v>
      </c>
    </row>
    <row r="266" spans="1:8">
      <c r="A266" t="s">
        <v>272</v>
      </c>
      <c r="B266" t="s">
        <v>308</v>
      </c>
      <c r="C266" t="s">
        <v>314</v>
      </c>
      <c r="D266" t="s">
        <v>317</v>
      </c>
      <c r="E266">
        <v>17</v>
      </c>
      <c r="F266">
        <v>89419</v>
      </c>
      <c r="G266">
        <v>15</v>
      </c>
      <c r="H266">
        <v>18422</v>
      </c>
    </row>
    <row r="267" spans="1:8">
      <c r="A267" t="s">
        <v>273</v>
      </c>
      <c r="B267" t="s">
        <v>308</v>
      </c>
      <c r="C267" t="s">
        <v>313</v>
      </c>
      <c r="D267" t="s">
        <v>320</v>
      </c>
      <c r="E267">
        <v>54</v>
      </c>
      <c r="F267">
        <v>21958</v>
      </c>
      <c r="G267">
        <v>20</v>
      </c>
      <c r="H267">
        <v>11081</v>
      </c>
    </row>
    <row r="268" spans="1:8">
      <c r="A268" t="s">
        <v>274</v>
      </c>
      <c r="B268" t="s">
        <v>308</v>
      </c>
      <c r="C268" t="s">
        <v>316</v>
      </c>
      <c r="D268" t="s">
        <v>318</v>
      </c>
      <c r="E268">
        <v>23</v>
      </c>
      <c r="F268">
        <v>105261</v>
      </c>
      <c r="G268">
        <v>12</v>
      </c>
      <c r="H268">
        <v>50979</v>
      </c>
    </row>
    <row r="269" spans="1:8">
      <c r="A269" t="s">
        <v>275</v>
      </c>
      <c r="B269" t="s">
        <v>308</v>
      </c>
      <c r="C269" t="s">
        <v>315</v>
      </c>
      <c r="D269" t="s">
        <v>317</v>
      </c>
      <c r="E269">
        <v>5</v>
      </c>
      <c r="F269">
        <v>103466</v>
      </c>
      <c r="G269">
        <v>1</v>
      </c>
      <c r="H269">
        <v>45864</v>
      </c>
    </row>
    <row r="270" spans="1:8">
      <c r="A270" t="s">
        <v>276</v>
      </c>
      <c r="B270" t="s">
        <v>309</v>
      </c>
      <c r="C270" t="s">
        <v>312</v>
      </c>
      <c r="D270" t="s">
        <v>321</v>
      </c>
      <c r="E270">
        <v>29</v>
      </c>
      <c r="F270">
        <v>98728</v>
      </c>
      <c r="G270">
        <v>38</v>
      </c>
      <c r="H270">
        <v>63122</v>
      </c>
    </row>
    <row r="271" spans="1:8">
      <c r="A271" t="s">
        <v>277</v>
      </c>
      <c r="B271" t="s">
        <v>308</v>
      </c>
      <c r="C271" t="s">
        <v>311</v>
      </c>
      <c r="D271" t="s">
        <v>322</v>
      </c>
      <c r="E271">
        <v>3</v>
      </c>
      <c r="F271">
        <v>60232</v>
      </c>
      <c r="G271">
        <v>25</v>
      </c>
      <c r="H271">
        <v>59650</v>
      </c>
    </row>
    <row r="272" spans="1:8">
      <c r="A272" t="s">
        <v>278</v>
      </c>
      <c r="B272" t="s">
        <v>309</v>
      </c>
      <c r="C272" t="s">
        <v>316</v>
      </c>
      <c r="D272" t="s">
        <v>319</v>
      </c>
      <c r="E272">
        <v>50</v>
      </c>
      <c r="F272">
        <v>101435</v>
      </c>
      <c r="G272">
        <v>2</v>
      </c>
      <c r="H272">
        <v>16968</v>
      </c>
    </row>
    <row r="273" spans="1:8">
      <c r="A273" t="s">
        <v>279</v>
      </c>
      <c r="B273" t="s">
        <v>308</v>
      </c>
      <c r="C273" t="s">
        <v>312</v>
      </c>
      <c r="D273" t="s">
        <v>320</v>
      </c>
      <c r="E273">
        <v>34</v>
      </c>
      <c r="F273">
        <v>42088</v>
      </c>
      <c r="G273">
        <v>18</v>
      </c>
      <c r="H273">
        <v>24734</v>
      </c>
    </row>
    <row r="274" spans="1:8">
      <c r="A274" t="s">
        <v>280</v>
      </c>
      <c r="B274" t="s">
        <v>308</v>
      </c>
      <c r="C274" t="s">
        <v>315</v>
      </c>
      <c r="D274" t="s">
        <v>319</v>
      </c>
      <c r="E274">
        <v>42</v>
      </c>
      <c r="F274">
        <v>72249</v>
      </c>
      <c r="G274">
        <v>19</v>
      </c>
      <c r="H274">
        <v>10512</v>
      </c>
    </row>
    <row r="275" spans="1:8">
      <c r="A275" t="s">
        <v>281</v>
      </c>
      <c r="B275" t="s">
        <v>308</v>
      </c>
      <c r="C275" t="s">
        <v>316</v>
      </c>
      <c r="D275" t="s">
        <v>319</v>
      </c>
      <c r="E275">
        <v>11</v>
      </c>
      <c r="F275">
        <v>74141</v>
      </c>
      <c r="G275">
        <v>33</v>
      </c>
      <c r="H275">
        <v>32780</v>
      </c>
    </row>
    <row r="276" spans="1:8">
      <c r="A276" t="s">
        <v>282</v>
      </c>
      <c r="B276" t="s">
        <v>308</v>
      </c>
      <c r="C276" t="s">
        <v>315</v>
      </c>
      <c r="D276" t="s">
        <v>320</v>
      </c>
      <c r="E276">
        <v>17</v>
      </c>
      <c r="F276">
        <v>84081</v>
      </c>
      <c r="G276">
        <v>27</v>
      </c>
      <c r="H276">
        <v>35231</v>
      </c>
    </row>
    <row r="277" spans="1:8">
      <c r="A277" t="s">
        <v>283</v>
      </c>
      <c r="B277" t="s">
        <v>308</v>
      </c>
      <c r="C277" t="s">
        <v>313</v>
      </c>
      <c r="D277" t="s">
        <v>317</v>
      </c>
      <c r="E277">
        <v>50</v>
      </c>
      <c r="F277">
        <v>6869</v>
      </c>
      <c r="G277">
        <v>23</v>
      </c>
      <c r="H277">
        <v>4041</v>
      </c>
    </row>
    <row r="278" spans="1:8">
      <c r="A278" t="s">
        <v>284</v>
      </c>
      <c r="B278" t="s">
        <v>308</v>
      </c>
      <c r="C278" t="s">
        <v>315</v>
      </c>
      <c r="D278" t="s">
        <v>322</v>
      </c>
      <c r="E278">
        <v>47</v>
      </c>
      <c r="F278">
        <v>97707</v>
      </c>
      <c r="G278">
        <v>28</v>
      </c>
      <c r="H278">
        <v>61872</v>
      </c>
    </row>
    <row r="279" spans="1:8">
      <c r="A279" t="s">
        <v>285</v>
      </c>
      <c r="B279" t="s">
        <v>308</v>
      </c>
      <c r="C279" t="s">
        <v>315</v>
      </c>
      <c r="D279" t="s">
        <v>319</v>
      </c>
      <c r="E279">
        <v>33</v>
      </c>
      <c r="F279">
        <v>64731</v>
      </c>
      <c r="G279">
        <v>32</v>
      </c>
      <c r="H279">
        <v>23636</v>
      </c>
    </row>
    <row r="280" spans="1:8">
      <c r="A280" t="s">
        <v>286</v>
      </c>
      <c r="B280" t="s">
        <v>308</v>
      </c>
      <c r="C280" t="s">
        <v>310</v>
      </c>
      <c r="D280" t="s">
        <v>319</v>
      </c>
      <c r="E280">
        <v>33</v>
      </c>
      <c r="F280">
        <v>3049</v>
      </c>
      <c r="G280">
        <v>11</v>
      </c>
      <c r="H280">
        <v>18632</v>
      </c>
    </row>
    <row r="281" spans="1:8">
      <c r="A281" t="s">
        <v>287</v>
      </c>
      <c r="B281" t="s">
        <v>309</v>
      </c>
      <c r="C281" t="s">
        <v>313</v>
      </c>
      <c r="D281" t="s">
        <v>322</v>
      </c>
      <c r="E281">
        <v>8</v>
      </c>
      <c r="F281">
        <v>52895</v>
      </c>
      <c r="G281">
        <v>12</v>
      </c>
      <c r="H281">
        <v>47393</v>
      </c>
    </row>
    <row r="282" spans="1:8">
      <c r="A282" t="s">
        <v>288</v>
      </c>
      <c r="B282" t="s">
        <v>309</v>
      </c>
      <c r="C282" t="s">
        <v>312</v>
      </c>
      <c r="D282" t="s">
        <v>318</v>
      </c>
      <c r="E282">
        <v>7</v>
      </c>
      <c r="F282">
        <v>97525</v>
      </c>
      <c r="G282">
        <v>26</v>
      </c>
      <c r="H282">
        <v>42853</v>
      </c>
    </row>
    <row r="283" spans="1:8">
      <c r="A283" t="s">
        <v>289</v>
      </c>
      <c r="B283" t="s">
        <v>309</v>
      </c>
      <c r="C283" t="s">
        <v>313</v>
      </c>
      <c r="D283" t="s">
        <v>319</v>
      </c>
      <c r="E283">
        <v>11</v>
      </c>
      <c r="F283">
        <v>14818</v>
      </c>
      <c r="G283">
        <v>9</v>
      </c>
      <c r="H283">
        <v>77555</v>
      </c>
    </row>
    <row r="284" spans="1:8">
      <c r="A284" t="s">
        <v>290</v>
      </c>
      <c r="B284" t="s">
        <v>308</v>
      </c>
      <c r="C284" t="s">
        <v>314</v>
      </c>
      <c r="D284" t="s">
        <v>320</v>
      </c>
      <c r="E284">
        <v>43</v>
      </c>
      <c r="F284">
        <v>63958</v>
      </c>
      <c r="G284">
        <v>3</v>
      </c>
      <c r="H284">
        <v>43705</v>
      </c>
    </row>
    <row r="285" spans="1:8">
      <c r="A285" t="s">
        <v>291</v>
      </c>
      <c r="B285" t="s">
        <v>308</v>
      </c>
      <c r="C285" t="s">
        <v>315</v>
      </c>
      <c r="D285" t="s">
        <v>317</v>
      </c>
      <c r="E285">
        <v>30</v>
      </c>
      <c r="F285">
        <v>78697</v>
      </c>
      <c r="G285">
        <v>20</v>
      </c>
      <c r="H285">
        <v>45613</v>
      </c>
    </row>
    <row r="286" spans="1:8">
      <c r="A286" t="s">
        <v>292</v>
      </c>
      <c r="B286" t="s">
        <v>308</v>
      </c>
      <c r="C286" t="s">
        <v>310</v>
      </c>
      <c r="D286" t="s">
        <v>317</v>
      </c>
      <c r="E286">
        <v>46</v>
      </c>
      <c r="F286">
        <v>86238</v>
      </c>
      <c r="G286">
        <v>18</v>
      </c>
      <c r="H286">
        <v>37117</v>
      </c>
    </row>
    <row r="287" spans="1:8">
      <c r="A287" t="s">
        <v>293</v>
      </c>
      <c r="B287" t="s">
        <v>308</v>
      </c>
      <c r="C287" t="s">
        <v>310</v>
      </c>
      <c r="D287" t="s">
        <v>320</v>
      </c>
      <c r="E287">
        <v>24</v>
      </c>
      <c r="F287">
        <v>81584</v>
      </c>
      <c r="G287">
        <v>16</v>
      </c>
      <c r="H287">
        <v>51194</v>
      </c>
    </row>
    <row r="288" spans="1:8">
      <c r="A288" t="s">
        <v>294</v>
      </c>
      <c r="B288" t="s">
        <v>308</v>
      </c>
      <c r="C288" t="s">
        <v>312</v>
      </c>
      <c r="D288" t="s">
        <v>321</v>
      </c>
      <c r="E288">
        <v>4</v>
      </c>
      <c r="F288">
        <v>12350</v>
      </c>
      <c r="G288">
        <v>1</v>
      </c>
      <c r="H288">
        <v>5156</v>
      </c>
    </row>
    <row r="289" spans="1:8">
      <c r="A289" t="s">
        <v>295</v>
      </c>
      <c r="B289" t="s">
        <v>309</v>
      </c>
      <c r="C289" t="s">
        <v>315</v>
      </c>
      <c r="D289" t="s">
        <v>317</v>
      </c>
      <c r="E289">
        <v>24</v>
      </c>
      <c r="F289">
        <v>110218</v>
      </c>
      <c r="G289">
        <v>22</v>
      </c>
      <c r="H289">
        <v>7700</v>
      </c>
    </row>
    <row r="290" spans="1:8">
      <c r="A290" t="s">
        <v>296</v>
      </c>
      <c r="B290" t="s">
        <v>308</v>
      </c>
      <c r="C290" t="s">
        <v>311</v>
      </c>
      <c r="D290" t="s">
        <v>318</v>
      </c>
      <c r="E290">
        <v>20</v>
      </c>
      <c r="F290">
        <v>31788</v>
      </c>
      <c r="G290">
        <v>22</v>
      </c>
      <c r="H290">
        <v>23584</v>
      </c>
    </row>
    <row r="291" spans="1:8">
      <c r="A291" t="s">
        <v>297</v>
      </c>
      <c r="B291" t="s">
        <v>308</v>
      </c>
      <c r="C291" t="s">
        <v>315</v>
      </c>
      <c r="D291" t="s">
        <v>320</v>
      </c>
      <c r="E291">
        <v>57</v>
      </c>
      <c r="F291">
        <v>68613</v>
      </c>
      <c r="G291">
        <v>30</v>
      </c>
      <c r="H291">
        <v>74420</v>
      </c>
    </row>
    <row r="292" spans="1:8">
      <c r="A292" t="s">
        <v>298</v>
      </c>
      <c r="B292" t="s">
        <v>308</v>
      </c>
      <c r="C292" t="s">
        <v>315</v>
      </c>
      <c r="D292" t="s">
        <v>321</v>
      </c>
      <c r="E292">
        <v>3</v>
      </c>
      <c r="F292">
        <v>27954</v>
      </c>
      <c r="G292">
        <v>15</v>
      </c>
      <c r="H292">
        <v>53223</v>
      </c>
    </row>
    <row r="293" spans="1:8">
      <c r="A293" t="s">
        <v>299</v>
      </c>
      <c r="B293" t="s">
        <v>308</v>
      </c>
      <c r="C293" t="s">
        <v>314</v>
      </c>
      <c r="D293" t="s">
        <v>320</v>
      </c>
      <c r="E293">
        <v>12</v>
      </c>
      <c r="F293">
        <v>73969</v>
      </c>
      <c r="G293">
        <v>28</v>
      </c>
      <c r="H293">
        <v>42428</v>
      </c>
    </row>
    <row r="294" spans="1:8">
      <c r="A294" t="s">
        <v>300</v>
      </c>
      <c r="B294" t="s">
        <v>308</v>
      </c>
      <c r="C294" t="s">
        <v>313</v>
      </c>
      <c r="D294" t="s">
        <v>317</v>
      </c>
      <c r="E294">
        <v>3</v>
      </c>
      <c r="F294">
        <v>19299</v>
      </c>
      <c r="G294">
        <v>32</v>
      </c>
      <c r="H294">
        <v>35803</v>
      </c>
    </row>
    <row r="295" spans="1:8">
      <c r="A295" t="s">
        <v>301</v>
      </c>
      <c r="B295" t="s">
        <v>308</v>
      </c>
      <c r="C295" t="s">
        <v>316</v>
      </c>
      <c r="D295" t="s">
        <v>319</v>
      </c>
      <c r="E295">
        <v>59</v>
      </c>
      <c r="F295">
        <v>3902</v>
      </c>
      <c r="G295">
        <v>32</v>
      </c>
      <c r="H295">
        <v>1699</v>
      </c>
    </row>
    <row r="296" spans="1:8">
      <c r="A296" t="s">
        <v>302</v>
      </c>
      <c r="B296" t="s">
        <v>308</v>
      </c>
      <c r="C296" t="s">
        <v>315</v>
      </c>
      <c r="D296" t="s">
        <v>322</v>
      </c>
      <c r="E296">
        <v>5</v>
      </c>
      <c r="F296">
        <v>41202</v>
      </c>
      <c r="G296">
        <v>34</v>
      </c>
      <c r="H296">
        <v>74920</v>
      </c>
    </row>
    <row r="297" spans="1:8">
      <c r="A297" t="s">
        <v>303</v>
      </c>
      <c r="B297" t="s">
        <v>308</v>
      </c>
      <c r="C297" t="s">
        <v>315</v>
      </c>
      <c r="D297" t="s">
        <v>317</v>
      </c>
      <c r="E297">
        <v>28</v>
      </c>
      <c r="F297">
        <v>27212</v>
      </c>
      <c r="G297">
        <v>35</v>
      </c>
      <c r="H297">
        <v>75690</v>
      </c>
    </row>
    <row r="298" spans="1:8">
      <c r="A298" t="s">
        <v>304</v>
      </c>
      <c r="B298" t="s">
        <v>308</v>
      </c>
      <c r="C298" t="s">
        <v>316</v>
      </c>
      <c r="D298" t="s">
        <v>321</v>
      </c>
      <c r="E298">
        <v>8</v>
      </c>
      <c r="F298">
        <v>100309</v>
      </c>
      <c r="G298">
        <v>3</v>
      </c>
      <c r="H298">
        <v>17782</v>
      </c>
    </row>
    <row r="299" spans="1:8">
      <c r="A299" t="s">
        <v>305</v>
      </c>
      <c r="B299" t="s">
        <v>308</v>
      </c>
      <c r="C299" t="s">
        <v>313</v>
      </c>
      <c r="D299" t="s">
        <v>318</v>
      </c>
      <c r="E299">
        <v>52</v>
      </c>
      <c r="F299">
        <v>81530</v>
      </c>
      <c r="G299">
        <v>18</v>
      </c>
      <c r="H299">
        <v>23124</v>
      </c>
    </row>
    <row r="300" spans="1:8">
      <c r="A300" t="s">
        <v>306</v>
      </c>
      <c r="B300" t="s">
        <v>308</v>
      </c>
      <c r="C300" t="s">
        <v>312</v>
      </c>
      <c r="D300" t="s">
        <v>319</v>
      </c>
      <c r="E300">
        <v>60</v>
      </c>
      <c r="F300">
        <v>80556</v>
      </c>
      <c r="G300">
        <v>16</v>
      </c>
      <c r="H300">
        <v>38745</v>
      </c>
    </row>
    <row r="301" spans="1:8">
      <c r="A301" t="s">
        <v>307</v>
      </c>
      <c r="B301" t="s">
        <v>309</v>
      </c>
      <c r="C301" t="s">
        <v>310</v>
      </c>
      <c r="D301" t="s">
        <v>322</v>
      </c>
      <c r="E301">
        <v>38</v>
      </c>
      <c r="F301">
        <v>52861</v>
      </c>
      <c r="G301">
        <v>21</v>
      </c>
      <c r="H301">
        <v>70106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D2D82-8FFA-48FB-8670-AB80C9FFCCC9}">
  <dimension ref="A1:T301"/>
  <sheetViews>
    <sheetView zoomScale="90" zoomScaleNormal="90" workbookViewId="0">
      <pane ySplit="1" topLeftCell="A8" activePane="bottomLeft" state="frozen"/>
      <selection pane="bottomLeft" activeCell="P8" sqref="P8"/>
    </sheetView>
  </sheetViews>
  <sheetFormatPr defaultRowHeight="14.5"/>
  <cols>
    <col min="1" max="1" width="14.26953125" bestFit="1" customWidth="1"/>
    <col min="2" max="2" width="16.7265625" bestFit="1" customWidth="1"/>
    <col min="3" max="3" width="10.1796875" bestFit="1" customWidth="1"/>
    <col min="4" max="4" width="13.453125" bestFit="1" customWidth="1"/>
    <col min="5" max="5" width="15.54296875" bestFit="1" customWidth="1"/>
    <col min="6" max="6" width="19.7265625" bestFit="1" customWidth="1"/>
    <col min="7" max="7" width="19.08984375" bestFit="1" customWidth="1"/>
    <col min="8" max="8" width="23.26953125" customWidth="1"/>
    <col min="9" max="9" width="17.54296875" bestFit="1" customWidth="1"/>
    <col min="10" max="10" width="19.36328125" bestFit="1" customWidth="1"/>
    <col min="11" max="11" width="12" customWidth="1"/>
    <col min="12" max="12" width="15.453125" customWidth="1"/>
    <col min="13" max="13" width="15.1796875" customWidth="1"/>
    <col min="14" max="14" width="17.1796875" bestFit="1" customWidth="1"/>
    <col min="15" max="15" width="16.90625" customWidth="1"/>
    <col min="16" max="16" width="10.54296875" customWidth="1"/>
    <col min="17" max="17" width="30.26953125" bestFit="1" customWidth="1"/>
    <col min="19" max="19" width="15.7265625" bestFit="1" customWidth="1"/>
    <col min="20" max="20" width="10.6328125" bestFit="1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332</v>
      </c>
      <c r="J1" s="2" t="s">
        <v>333</v>
      </c>
      <c r="K1" s="2" t="s">
        <v>323</v>
      </c>
      <c r="L1" s="2" t="s">
        <v>324</v>
      </c>
      <c r="M1" s="2" t="s">
        <v>325</v>
      </c>
      <c r="N1" s="2" t="s">
        <v>334</v>
      </c>
      <c r="O1" s="2" t="s">
        <v>326</v>
      </c>
      <c r="P1" s="2" t="s">
        <v>327</v>
      </c>
      <c r="Q1" s="2" t="s">
        <v>328</v>
      </c>
      <c r="S1" s="13" t="s">
        <v>337</v>
      </c>
      <c r="T1" s="14"/>
    </row>
    <row r="2" spans="1:20" hidden="1">
      <c r="A2" t="str">
        <f>tbl_data[[#This Row],[Customer_ID]]</f>
        <v>CUST-001</v>
      </c>
      <c r="B2" t="str">
        <f>tbl_data[[#This Row],[Customer_Type]]</f>
        <v>Individual</v>
      </c>
      <c r="C2" t="str">
        <f>tbl_data[[#This Row],[Country]]</f>
        <v>Hong Kong</v>
      </c>
      <c r="D2" t="str">
        <f>tbl_data[[#This Row],[Industry]]</f>
        <v>Consulting</v>
      </c>
      <c r="E2">
        <f>tbl_data[[#This Row],[Tx_Count_30D]]</f>
        <v>48</v>
      </c>
      <c r="F2">
        <f>tbl_data[[#This Row],[Total_Amount_30D]]</f>
        <v>78997</v>
      </c>
      <c r="G2">
        <f>tbl_data[[#This Row],[Avg_Tx_Count_6M]]</f>
        <v>17</v>
      </c>
      <c r="H2">
        <f>tbl_data[[#This Row],[Avg_Total_Amount_6M]]</f>
        <v>46486</v>
      </c>
      <c r="I2">
        <f>IFERROR(tbl_Data2[[#This Row],[Tx_Count_30D]]/tbl_Data2[[#This Row],[Avg_Tx_Count_6M]],0)</f>
        <v>2.8235294117647061</v>
      </c>
      <c r="J2">
        <f>IFERROR(tbl_Data2[[#This Row],[Total_Amount_30D]]/tbl_Data2[[#This Row],[Avg_Total_Amount_6M]],0)</f>
        <v>1.6993718538914941</v>
      </c>
      <c r="K2">
        <f>_xlfn.XLOOKUP(tbl_Data2[[#This Row],[Country]], Geo_Map[Country], Geo_Map[Score], 5)</f>
        <v>6</v>
      </c>
      <c r="L2" cm="1">
        <f t="array" ref="L2">_xlfn.IFS(tbl_Data2[[#This Row],[Tx_Count_30D]]&lt;=5,2,tbl_Data2[[#This Row],[Tx_Count_30D]]&lt;=15,5,tbl_Data2[[#This Row],[Tx_Count_30D]]&lt;=30,7,tbl_Data2[[#This Row],[Tx_Count_30D]]&gt;30,9)</f>
        <v>9</v>
      </c>
      <c r="M2" cm="1">
        <f t="array" ref="M2">_xlfn.IFS(
tbl_Data2[[#This Row],[Total_Amount_30D]]&lt;10000,2,
tbl_Data2[[#This Row],[Total_Amount_30D]]&lt;25000,5,
tbl_Data2[[#This Row],[Total_Amount_30D]]&lt;50000,7,
tbl_Data2[[#This Row],[Total_Amount_30D]]&gt;=50000,9
)</f>
        <v>9</v>
      </c>
      <c r="N2" cm="1">
        <f t="array" ref="N2">_xlfn.IFS(
tbl_Data2[[#This Row],[Amount_Deviation]]&lt;1.5,2,
tbl_Data2[[#This Row],[Amount_Deviation]]&lt;3,6,
tbl_Data2[[#This Row],[Amount_Deviation]]&lt;6,8,
tbl_Data2[[#This Row],[Amount_Deviation]]&gt;=6,10
)</f>
        <v>6</v>
      </c>
      <c r="O2">
        <f>ROUND(
    (tbl_Data2[[#This Row],[Geo_Score]]*0.2) +
    (tbl_Data2[[#This Row],[Velocity_Score]]*0.25) +
    (tbl_Data2[[#This Row],[Volume_Score]]*0.25) +
    (tbl_Data2[[#This Row],[Deviation_Score]]*0.3),
1
)</f>
        <v>7.5</v>
      </c>
      <c r="P2" t="str" cm="1">
        <f t="array" ref="P2">_xlfn.IFS(
tbl_Data2[[#This Row],[Final_Risk_Score]]&lt;5.5,"Low",
tbl_Data2[[#This Row],[Final_Risk_Score]]&lt;7.5,"Medium",
tbl_Data2[[#This Row],[Final_Risk_Score]]&gt;=7.5,"High"
)</f>
        <v>High</v>
      </c>
      <c r="Q2" t="str" cm="1">
        <f t="array" ref="Q2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  <c r="S2" s="4" t="s">
        <v>2</v>
      </c>
      <c r="T2" s="4" t="s">
        <v>329</v>
      </c>
    </row>
    <row r="3" spans="1:20">
      <c r="A3" t="str">
        <f>tbl_data[[#This Row],[Customer_ID]]</f>
        <v>CUST-002</v>
      </c>
      <c r="B3" t="str">
        <f>tbl_data[[#This Row],[Customer_Type]]</f>
        <v>Individual</v>
      </c>
      <c r="C3" t="str">
        <f>tbl_data[[#This Row],[Country]]</f>
        <v>Seychelles</v>
      </c>
      <c r="D3" t="str">
        <f>tbl_data[[#This Row],[Industry]]</f>
        <v>Import/Export</v>
      </c>
      <c r="E3">
        <f>tbl_data[[#This Row],[Tx_Count_30D]]</f>
        <v>3</v>
      </c>
      <c r="F3">
        <f>tbl_data[[#This Row],[Total_Amount_30D]]</f>
        <v>115271</v>
      </c>
      <c r="G3">
        <f>tbl_data[[#This Row],[Avg_Tx_Count_6M]]</f>
        <v>1</v>
      </c>
      <c r="H3">
        <f>tbl_data[[#This Row],[Avg_Total_Amount_6M]]</f>
        <v>59956</v>
      </c>
      <c r="I3">
        <f>IFERROR(tbl_Data2[[#This Row],[Tx_Count_30D]]/tbl_Data2[[#This Row],[Avg_Tx_Count_6M]],0)</f>
        <v>3</v>
      </c>
      <c r="J3">
        <f>IFERROR(tbl_Data2[[#This Row],[Total_Amount_30D]]/tbl_Data2[[#This Row],[Avg_Total_Amount_6M]],0)</f>
        <v>1.9225932350390287</v>
      </c>
      <c r="K3">
        <f>_xlfn.XLOOKUP(tbl_Data2[[#This Row],[Country]], Geo_Map[Country], Geo_Map[Score], 5)</f>
        <v>9</v>
      </c>
      <c r="L3" cm="1">
        <f t="array" ref="L3">_xlfn.IFS(tbl_Data2[[#This Row],[Tx_Count_30D]]&lt;=5,2,tbl_Data2[[#This Row],[Tx_Count_30D]]&lt;=15,5,tbl_Data2[[#This Row],[Tx_Count_30D]]&lt;=30,7,tbl_Data2[[#This Row],[Tx_Count_30D]]&gt;30,9)</f>
        <v>2</v>
      </c>
      <c r="M3" cm="1">
        <f t="array" ref="M3">_xlfn.IFS(
tbl_Data2[[#This Row],[Total_Amount_30D]]&lt;10000,2,
tbl_Data2[[#This Row],[Total_Amount_30D]]&lt;25000,5,
tbl_Data2[[#This Row],[Total_Amount_30D]]&lt;50000,7,
tbl_Data2[[#This Row],[Total_Amount_30D]]&gt;=50000,9
)</f>
        <v>9</v>
      </c>
      <c r="N3" cm="1">
        <f t="array" ref="N3">_xlfn.IFS(
tbl_Data2[[#This Row],[Amount_Deviation]]&lt;1.5,2,
tbl_Data2[[#This Row],[Amount_Deviation]]&lt;3,6,
tbl_Data2[[#This Row],[Amount_Deviation]]&lt;6,8,
tbl_Data2[[#This Row],[Amount_Deviation]]&gt;=6,10
)</f>
        <v>6</v>
      </c>
      <c r="O3">
        <f>ROUND(
    (tbl_Data2[[#This Row],[Geo_Score]]*0.2) +
    (tbl_Data2[[#This Row],[Velocity_Score]]*0.25) +
    (tbl_Data2[[#This Row],[Volume_Score]]*0.25) +
    (tbl_Data2[[#This Row],[Deviation_Score]]*0.3),
1
)</f>
        <v>6.4</v>
      </c>
      <c r="P3" t="str" cm="1">
        <f t="array" ref="P3">_xlfn.IFS(
tbl_Data2[[#This Row],[Final_Risk_Score]]&lt;5.5,"Low",
tbl_Data2[[#This Row],[Final_Risk_Score]]&lt;7.5,"Medium",
tbl_Data2[[#This Row],[Final_Risk_Score]]&gt;=7.5,"High"
)</f>
        <v>Medium</v>
      </c>
      <c r="Q3" t="str" cm="1">
        <f t="array" ref="Q3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  <c r="S3" s="3" t="s">
        <v>310</v>
      </c>
      <c r="T3" s="3">
        <v>1</v>
      </c>
    </row>
    <row r="4" spans="1:20">
      <c r="A4" t="str">
        <f>tbl_data[[#This Row],[Customer_ID]]</f>
        <v>CUST-003</v>
      </c>
      <c r="B4" t="str">
        <f>tbl_data[[#This Row],[Customer_Type]]</f>
        <v>Business</v>
      </c>
      <c r="C4" t="str">
        <f>tbl_data[[#This Row],[Country]]</f>
        <v>Seychelles</v>
      </c>
      <c r="D4" t="str">
        <f>tbl_data[[#This Row],[Industry]]</f>
        <v>Consulting</v>
      </c>
      <c r="E4">
        <f>tbl_data[[#This Row],[Tx_Count_30D]]</f>
        <v>13</v>
      </c>
      <c r="F4">
        <f>tbl_data[[#This Row],[Total_Amount_30D]]</f>
        <v>63168</v>
      </c>
      <c r="G4">
        <f>tbl_data[[#This Row],[Avg_Tx_Count_6M]]</f>
        <v>19</v>
      </c>
      <c r="H4">
        <f>tbl_data[[#This Row],[Avg_Total_Amount_6M]]</f>
        <v>24369</v>
      </c>
      <c r="I4">
        <f>IFERROR(tbl_Data2[[#This Row],[Tx_Count_30D]]/tbl_Data2[[#This Row],[Avg_Tx_Count_6M]],0)</f>
        <v>0.68421052631578949</v>
      </c>
      <c r="J4">
        <f>IFERROR(tbl_Data2[[#This Row],[Total_Amount_30D]]/tbl_Data2[[#This Row],[Avg_Total_Amount_6M]],0)</f>
        <v>2.5921457589560508</v>
      </c>
      <c r="K4">
        <f>_xlfn.XLOOKUP(tbl_Data2[[#This Row],[Country]], Geo_Map[Country], Geo_Map[Score], 5)</f>
        <v>9</v>
      </c>
      <c r="L4" cm="1">
        <f t="array" ref="L4">_xlfn.IFS(tbl_Data2[[#This Row],[Tx_Count_30D]]&lt;=5,2,tbl_Data2[[#This Row],[Tx_Count_30D]]&lt;=15,5,tbl_Data2[[#This Row],[Tx_Count_30D]]&lt;=30,7,tbl_Data2[[#This Row],[Tx_Count_30D]]&gt;30,9)</f>
        <v>5</v>
      </c>
      <c r="M4" cm="1">
        <f t="array" ref="M4">_xlfn.IFS(
tbl_Data2[[#This Row],[Total_Amount_30D]]&lt;10000,2,
tbl_Data2[[#This Row],[Total_Amount_30D]]&lt;25000,5,
tbl_Data2[[#This Row],[Total_Amount_30D]]&lt;50000,7,
tbl_Data2[[#This Row],[Total_Amount_30D]]&gt;=50000,9
)</f>
        <v>9</v>
      </c>
      <c r="N4" cm="1">
        <f t="array" ref="N4">_xlfn.IFS(
tbl_Data2[[#This Row],[Amount_Deviation]]&lt;1.5,2,
tbl_Data2[[#This Row],[Amount_Deviation]]&lt;3,6,
tbl_Data2[[#This Row],[Amount_Deviation]]&lt;6,8,
tbl_Data2[[#This Row],[Amount_Deviation]]&gt;=6,10
)</f>
        <v>6</v>
      </c>
      <c r="O4">
        <f>ROUND(
    (tbl_Data2[[#This Row],[Geo_Score]]*0.2) +
    (tbl_Data2[[#This Row],[Velocity_Score]]*0.25) +
    (tbl_Data2[[#This Row],[Volume_Score]]*0.25) +
    (tbl_Data2[[#This Row],[Deviation_Score]]*0.3),
1
)</f>
        <v>7.1</v>
      </c>
      <c r="P4" t="str" cm="1">
        <f t="array" ref="P4">_xlfn.IFS(
tbl_Data2[[#This Row],[Final_Risk_Score]]&lt;5.5,"Low",
tbl_Data2[[#This Row],[Final_Risk_Score]]&lt;7.5,"Medium",
tbl_Data2[[#This Row],[Final_Risk_Score]]&gt;=7.5,"High"
)</f>
        <v>Medium</v>
      </c>
      <c r="Q4" t="str" cm="1">
        <f t="array" ref="Q4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  <c r="S4" s="3" t="s">
        <v>335</v>
      </c>
      <c r="T4" s="3">
        <v>5</v>
      </c>
    </row>
    <row r="5" spans="1:20" hidden="1">
      <c r="A5" t="str">
        <f>tbl_data[[#This Row],[Customer_ID]]</f>
        <v>CUST-004</v>
      </c>
      <c r="B5" t="str">
        <f>tbl_data[[#This Row],[Customer_Type]]</f>
        <v>Business</v>
      </c>
      <c r="C5" t="str">
        <f>tbl_data[[#This Row],[Country]]</f>
        <v>Hong Kong</v>
      </c>
      <c r="D5" t="str">
        <f>tbl_data[[#This Row],[Industry]]</f>
        <v>IT Services</v>
      </c>
      <c r="E5">
        <f>tbl_data[[#This Row],[Tx_Count_30D]]</f>
        <v>34</v>
      </c>
      <c r="F5">
        <f>tbl_data[[#This Row],[Total_Amount_30D]]</f>
        <v>88566</v>
      </c>
      <c r="G5">
        <f>tbl_data[[#This Row],[Avg_Tx_Count_6M]]</f>
        <v>35</v>
      </c>
      <c r="H5">
        <f>tbl_data[[#This Row],[Avg_Total_Amount_6M]]</f>
        <v>7769</v>
      </c>
      <c r="I5">
        <f>IFERROR(tbl_Data2[[#This Row],[Tx_Count_30D]]/tbl_Data2[[#This Row],[Avg_Tx_Count_6M]],0)</f>
        <v>0.97142857142857142</v>
      </c>
      <c r="J5">
        <f>IFERROR(tbl_Data2[[#This Row],[Total_Amount_30D]]/tbl_Data2[[#This Row],[Avg_Total_Amount_6M]],0)</f>
        <v>11.399922769983267</v>
      </c>
      <c r="K5">
        <f>_xlfn.XLOOKUP(tbl_Data2[[#This Row],[Country]], Geo_Map[Country], Geo_Map[Score], 5)</f>
        <v>6</v>
      </c>
      <c r="L5" cm="1">
        <f t="array" ref="L5">_xlfn.IFS(tbl_Data2[[#This Row],[Tx_Count_30D]]&lt;=5,2,tbl_Data2[[#This Row],[Tx_Count_30D]]&lt;=15,5,tbl_Data2[[#This Row],[Tx_Count_30D]]&lt;=30,7,tbl_Data2[[#This Row],[Tx_Count_30D]]&gt;30,9)</f>
        <v>9</v>
      </c>
      <c r="M5" cm="1">
        <f t="array" ref="M5">_xlfn.IFS(
tbl_Data2[[#This Row],[Total_Amount_30D]]&lt;10000,2,
tbl_Data2[[#This Row],[Total_Amount_30D]]&lt;25000,5,
tbl_Data2[[#This Row],[Total_Amount_30D]]&lt;50000,7,
tbl_Data2[[#This Row],[Total_Amount_30D]]&gt;=50000,9
)</f>
        <v>9</v>
      </c>
      <c r="N5" cm="1">
        <f t="array" ref="N5">_xlfn.IFS(
tbl_Data2[[#This Row],[Amount_Deviation]]&lt;1.5,2,
tbl_Data2[[#This Row],[Amount_Deviation]]&lt;3,6,
tbl_Data2[[#This Row],[Amount_Deviation]]&lt;6,8,
tbl_Data2[[#This Row],[Amount_Deviation]]&gt;=6,10
)</f>
        <v>10</v>
      </c>
      <c r="O5">
        <f>ROUND(
    (tbl_Data2[[#This Row],[Geo_Score]]*0.2) +
    (tbl_Data2[[#This Row],[Velocity_Score]]*0.25) +
    (tbl_Data2[[#This Row],[Volume_Score]]*0.25) +
    (tbl_Data2[[#This Row],[Deviation_Score]]*0.3),
1
)</f>
        <v>8.6999999999999993</v>
      </c>
      <c r="P5" t="str" cm="1">
        <f t="array" ref="P5">_xlfn.IFS(
tbl_Data2[[#This Row],[Final_Risk_Score]]&lt;5.5,"Low",
tbl_Data2[[#This Row],[Final_Risk_Score]]&lt;7.5,"Medium",
tbl_Data2[[#This Row],[Final_Risk_Score]]&gt;=7.5,"High"
)</f>
        <v>High</v>
      </c>
      <c r="Q5" t="str" cm="1">
        <f t="array" ref="Q5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  <c r="S5" s="3" t="s">
        <v>336</v>
      </c>
      <c r="T5" s="3">
        <v>5</v>
      </c>
    </row>
    <row r="6" spans="1:20" hidden="1">
      <c r="A6" t="str">
        <f>tbl_data[[#This Row],[Customer_ID]]</f>
        <v>CUST-005</v>
      </c>
      <c r="B6" t="str">
        <f>tbl_data[[#This Row],[Customer_Type]]</f>
        <v>Individual</v>
      </c>
      <c r="C6" t="str">
        <f>tbl_data[[#This Row],[Country]]</f>
        <v>Cyprus</v>
      </c>
      <c r="D6" t="str">
        <f>tbl_data[[#This Row],[Industry]]</f>
        <v>Logistics</v>
      </c>
      <c r="E6">
        <f>tbl_data[[#This Row],[Tx_Count_30D]]</f>
        <v>47</v>
      </c>
      <c r="F6">
        <f>tbl_data[[#This Row],[Total_Amount_30D]]</f>
        <v>79675</v>
      </c>
      <c r="G6">
        <f>tbl_data[[#This Row],[Avg_Tx_Count_6M]]</f>
        <v>1</v>
      </c>
      <c r="H6">
        <f>tbl_data[[#This Row],[Avg_Total_Amount_6M]]</f>
        <v>45642</v>
      </c>
      <c r="I6">
        <f>IFERROR(tbl_Data2[[#This Row],[Tx_Count_30D]]/tbl_Data2[[#This Row],[Avg_Tx_Count_6M]],0)</f>
        <v>47</v>
      </c>
      <c r="J6">
        <f>IFERROR(tbl_Data2[[#This Row],[Total_Amount_30D]]/tbl_Data2[[#This Row],[Avg_Total_Amount_6M]],0)</f>
        <v>1.7456509355418255</v>
      </c>
      <c r="K6">
        <f>_xlfn.XLOOKUP(tbl_Data2[[#This Row],[Country]], Geo_Map[Country], Geo_Map[Score], 5)</f>
        <v>7</v>
      </c>
      <c r="L6" cm="1">
        <f t="array" ref="L6">_xlfn.IFS(tbl_Data2[[#This Row],[Tx_Count_30D]]&lt;=5,2,tbl_Data2[[#This Row],[Tx_Count_30D]]&lt;=15,5,tbl_Data2[[#This Row],[Tx_Count_30D]]&lt;=30,7,tbl_Data2[[#This Row],[Tx_Count_30D]]&gt;30,9)</f>
        <v>9</v>
      </c>
      <c r="M6" cm="1">
        <f t="array" ref="M6">_xlfn.IFS(
tbl_Data2[[#This Row],[Total_Amount_30D]]&lt;10000,2,
tbl_Data2[[#This Row],[Total_Amount_30D]]&lt;25000,5,
tbl_Data2[[#This Row],[Total_Amount_30D]]&lt;50000,7,
tbl_Data2[[#This Row],[Total_Amount_30D]]&gt;=50000,9
)</f>
        <v>9</v>
      </c>
      <c r="N6" cm="1">
        <f t="array" ref="N6">_xlfn.IFS(
tbl_Data2[[#This Row],[Amount_Deviation]]&lt;1.5,2,
tbl_Data2[[#This Row],[Amount_Deviation]]&lt;3,6,
tbl_Data2[[#This Row],[Amount_Deviation]]&lt;6,8,
tbl_Data2[[#This Row],[Amount_Deviation]]&gt;=6,10
)</f>
        <v>6</v>
      </c>
      <c r="O6">
        <f>ROUND(
    (tbl_Data2[[#This Row],[Geo_Score]]*0.2) +
    (tbl_Data2[[#This Row],[Velocity_Score]]*0.25) +
    (tbl_Data2[[#This Row],[Volume_Score]]*0.25) +
    (tbl_Data2[[#This Row],[Deviation_Score]]*0.3),
1
)</f>
        <v>7.7</v>
      </c>
      <c r="P6" t="str" cm="1">
        <f t="array" ref="P6">_xlfn.IFS(
tbl_Data2[[#This Row],[Final_Risk_Score]]&lt;5.5,"Low",
tbl_Data2[[#This Row],[Final_Risk_Score]]&lt;7.5,"Medium",
tbl_Data2[[#This Row],[Final_Risk_Score]]&gt;=7.5,"High"
)</f>
        <v>High</v>
      </c>
      <c r="Q6" t="str" cm="1">
        <f t="array" ref="Q6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  <c r="S6" s="3" t="s">
        <v>316</v>
      </c>
      <c r="T6" s="3">
        <v>6</v>
      </c>
    </row>
    <row r="7" spans="1:20">
      <c r="A7" t="str">
        <f>tbl_data[[#This Row],[Customer_ID]]</f>
        <v>CUST-006</v>
      </c>
      <c r="B7" t="str">
        <f>tbl_data[[#This Row],[Customer_Type]]</f>
        <v>Business</v>
      </c>
      <c r="C7" t="str">
        <f>tbl_data[[#This Row],[Country]]</f>
        <v>Seychelles</v>
      </c>
      <c r="D7" t="str">
        <f>tbl_data[[#This Row],[Industry]]</f>
        <v>Trading</v>
      </c>
      <c r="E7">
        <f>tbl_data[[#This Row],[Tx_Count_30D]]</f>
        <v>57</v>
      </c>
      <c r="F7">
        <f>tbl_data[[#This Row],[Total_Amount_30D]]</f>
        <v>46115</v>
      </c>
      <c r="G7">
        <f>tbl_data[[#This Row],[Avg_Tx_Count_6M]]</f>
        <v>24</v>
      </c>
      <c r="H7">
        <f>tbl_data[[#This Row],[Avg_Total_Amount_6M]]</f>
        <v>77006</v>
      </c>
      <c r="I7">
        <f>IFERROR(tbl_Data2[[#This Row],[Tx_Count_30D]]/tbl_Data2[[#This Row],[Avg_Tx_Count_6M]],0)</f>
        <v>2.375</v>
      </c>
      <c r="J7">
        <f>IFERROR(tbl_Data2[[#This Row],[Total_Amount_30D]]/tbl_Data2[[#This Row],[Avg_Total_Amount_6M]],0)</f>
        <v>0.59884944030335296</v>
      </c>
      <c r="K7">
        <f>_xlfn.XLOOKUP(tbl_Data2[[#This Row],[Country]], Geo_Map[Country], Geo_Map[Score], 5)</f>
        <v>9</v>
      </c>
      <c r="L7" cm="1">
        <f t="array" ref="L7">_xlfn.IFS(tbl_Data2[[#This Row],[Tx_Count_30D]]&lt;=5,2,tbl_Data2[[#This Row],[Tx_Count_30D]]&lt;=15,5,tbl_Data2[[#This Row],[Tx_Count_30D]]&lt;=30,7,tbl_Data2[[#This Row],[Tx_Count_30D]]&gt;30,9)</f>
        <v>9</v>
      </c>
      <c r="M7" cm="1">
        <f t="array" ref="M7">_xlfn.IFS(
tbl_Data2[[#This Row],[Total_Amount_30D]]&lt;10000,2,
tbl_Data2[[#This Row],[Total_Amount_30D]]&lt;25000,5,
tbl_Data2[[#This Row],[Total_Amount_30D]]&lt;50000,7,
tbl_Data2[[#This Row],[Total_Amount_30D]]&gt;=50000,9
)</f>
        <v>7</v>
      </c>
      <c r="N7" cm="1">
        <f t="array" ref="N7">_xlfn.IFS(
tbl_Data2[[#This Row],[Amount_Deviation]]&lt;1.5,2,
tbl_Data2[[#This Row],[Amount_Deviation]]&lt;3,6,
tbl_Data2[[#This Row],[Amount_Deviation]]&lt;6,8,
tbl_Data2[[#This Row],[Amount_Deviation]]&gt;=6,10
)</f>
        <v>2</v>
      </c>
      <c r="O7">
        <f>ROUND(
    (tbl_Data2[[#This Row],[Geo_Score]]*0.2) +
    (tbl_Data2[[#This Row],[Velocity_Score]]*0.25) +
    (tbl_Data2[[#This Row],[Volume_Score]]*0.25) +
    (tbl_Data2[[#This Row],[Deviation_Score]]*0.3),
1
)</f>
        <v>6.4</v>
      </c>
      <c r="P7" t="str" cm="1">
        <f t="array" ref="P7">_xlfn.IFS(
tbl_Data2[[#This Row],[Final_Risk_Score]]&lt;5.5,"Low",
tbl_Data2[[#This Row],[Final_Risk_Score]]&lt;7.5,"Medium",
tbl_Data2[[#This Row],[Final_Risk_Score]]&gt;=7.5,"High"
)</f>
        <v>Medium</v>
      </c>
      <c r="Q7" t="str" cm="1">
        <f t="array" ref="Q7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  <c r="S7" s="3" t="s">
        <v>314</v>
      </c>
      <c r="T7" s="3">
        <v>6</v>
      </c>
    </row>
    <row r="8" spans="1:20" hidden="1">
      <c r="A8" t="str">
        <f>tbl_data[[#This Row],[Customer_ID]]</f>
        <v>CUST-007</v>
      </c>
      <c r="B8" t="str">
        <f>tbl_data[[#This Row],[Customer_Type]]</f>
        <v>Individual</v>
      </c>
      <c r="C8" t="str">
        <f>tbl_data[[#This Row],[Country]]</f>
        <v>USA</v>
      </c>
      <c r="D8" t="str">
        <f>tbl_data[[#This Row],[Industry]]</f>
        <v>Logistics</v>
      </c>
      <c r="E8">
        <f>tbl_data[[#This Row],[Tx_Count_30D]]</f>
        <v>13</v>
      </c>
      <c r="F8">
        <f>tbl_data[[#This Row],[Total_Amount_30D]]</f>
        <v>19359</v>
      </c>
      <c r="G8">
        <f>tbl_data[[#This Row],[Avg_Tx_Count_6M]]</f>
        <v>31</v>
      </c>
      <c r="H8">
        <f>tbl_data[[#This Row],[Avg_Total_Amount_6M]]</f>
        <v>54582</v>
      </c>
      <c r="I8">
        <f>IFERROR(tbl_Data2[[#This Row],[Tx_Count_30D]]/tbl_Data2[[#This Row],[Avg_Tx_Count_6M]],0)</f>
        <v>0.41935483870967744</v>
      </c>
      <c r="J8">
        <f>IFERROR(tbl_Data2[[#This Row],[Total_Amount_30D]]/tbl_Data2[[#This Row],[Avg_Total_Amount_6M]],0)</f>
        <v>0.35467736616466966</v>
      </c>
      <c r="K8">
        <f>_xlfn.XLOOKUP(tbl_Data2[[#This Row],[Country]], Geo_Map[Country], Geo_Map[Score], 5)</f>
        <v>1</v>
      </c>
      <c r="L8" cm="1">
        <f t="array" ref="L8">_xlfn.IFS(tbl_Data2[[#This Row],[Tx_Count_30D]]&lt;=5,2,tbl_Data2[[#This Row],[Tx_Count_30D]]&lt;=15,5,tbl_Data2[[#This Row],[Tx_Count_30D]]&lt;=30,7,tbl_Data2[[#This Row],[Tx_Count_30D]]&gt;30,9)</f>
        <v>5</v>
      </c>
      <c r="M8" cm="1">
        <f t="array" ref="M8">_xlfn.IFS(
tbl_Data2[[#This Row],[Total_Amount_30D]]&lt;10000,2,
tbl_Data2[[#This Row],[Total_Amount_30D]]&lt;25000,5,
tbl_Data2[[#This Row],[Total_Amount_30D]]&lt;50000,7,
tbl_Data2[[#This Row],[Total_Amount_30D]]&gt;=50000,9
)</f>
        <v>5</v>
      </c>
      <c r="N8" cm="1">
        <f t="array" ref="N8">_xlfn.IFS(
tbl_Data2[[#This Row],[Amount_Deviation]]&lt;1.5,2,
tbl_Data2[[#This Row],[Amount_Deviation]]&lt;3,6,
tbl_Data2[[#This Row],[Amount_Deviation]]&lt;6,8,
tbl_Data2[[#This Row],[Amount_Deviation]]&gt;=6,10
)</f>
        <v>2</v>
      </c>
      <c r="O8">
        <f>ROUND(
    (tbl_Data2[[#This Row],[Geo_Score]]*0.2) +
    (tbl_Data2[[#This Row],[Velocity_Score]]*0.25) +
    (tbl_Data2[[#This Row],[Volume_Score]]*0.25) +
    (tbl_Data2[[#This Row],[Deviation_Score]]*0.3),
1
)</f>
        <v>3.3</v>
      </c>
      <c r="P8" t="str" cm="1">
        <f t="array" ref="P8">_xlfn.IFS(
tbl_Data2[[#This Row],[Final_Risk_Score]]&lt;5.5,"Low",
tbl_Data2[[#This Row],[Final_Risk_Score]]&lt;7.5,"Medium",
tbl_Data2[[#This Row],[Final_Risk_Score]]&gt;=7.5,"High"
)</f>
        <v>Low</v>
      </c>
      <c r="Q8" t="str" cm="1">
        <f t="array" ref="Q8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  <c r="S8" s="3" t="s">
        <v>330</v>
      </c>
      <c r="T8" s="3">
        <v>6</v>
      </c>
    </row>
    <row r="9" spans="1:20" hidden="1">
      <c r="A9" t="str">
        <f>tbl_data[[#This Row],[Customer_ID]]</f>
        <v>CUST-008</v>
      </c>
      <c r="B9" t="str">
        <f>tbl_data[[#This Row],[Customer_Type]]</f>
        <v>Business</v>
      </c>
      <c r="C9" t="str">
        <f>tbl_data[[#This Row],[Country]]</f>
        <v>Hong Kong</v>
      </c>
      <c r="D9" t="str">
        <f>tbl_data[[#This Row],[Industry]]</f>
        <v>Import/Export</v>
      </c>
      <c r="E9">
        <f>tbl_data[[#This Row],[Tx_Count_30D]]</f>
        <v>13</v>
      </c>
      <c r="F9">
        <f>tbl_data[[#This Row],[Total_Amount_30D]]</f>
        <v>81075</v>
      </c>
      <c r="G9">
        <f>tbl_data[[#This Row],[Avg_Tx_Count_6M]]</f>
        <v>27</v>
      </c>
      <c r="H9">
        <f>tbl_data[[#This Row],[Avg_Total_Amount_6M]]</f>
        <v>55501</v>
      </c>
      <c r="I9">
        <f>IFERROR(tbl_Data2[[#This Row],[Tx_Count_30D]]/tbl_Data2[[#This Row],[Avg_Tx_Count_6M]],0)</f>
        <v>0.48148148148148145</v>
      </c>
      <c r="J9">
        <f>IFERROR(tbl_Data2[[#This Row],[Total_Amount_30D]]/tbl_Data2[[#This Row],[Avg_Total_Amount_6M]],0)</f>
        <v>1.4607844903695428</v>
      </c>
      <c r="K9">
        <f>_xlfn.XLOOKUP(tbl_Data2[[#This Row],[Country]], Geo_Map[Country], Geo_Map[Score], 5)</f>
        <v>6</v>
      </c>
      <c r="L9" cm="1">
        <f t="array" ref="L9">_xlfn.IFS(tbl_Data2[[#This Row],[Tx_Count_30D]]&lt;=5,2,tbl_Data2[[#This Row],[Tx_Count_30D]]&lt;=15,5,tbl_Data2[[#This Row],[Tx_Count_30D]]&lt;=30,7,tbl_Data2[[#This Row],[Tx_Count_30D]]&gt;30,9)</f>
        <v>5</v>
      </c>
      <c r="M9" cm="1">
        <f t="array" ref="M9">_xlfn.IFS(
tbl_Data2[[#This Row],[Total_Amount_30D]]&lt;10000,2,
tbl_Data2[[#This Row],[Total_Amount_30D]]&lt;25000,5,
tbl_Data2[[#This Row],[Total_Amount_30D]]&lt;50000,7,
tbl_Data2[[#This Row],[Total_Amount_30D]]&gt;=50000,9
)</f>
        <v>9</v>
      </c>
      <c r="N9" cm="1">
        <f t="array" ref="N9">_xlfn.IFS(
tbl_Data2[[#This Row],[Amount_Deviation]]&lt;1.5,2,
tbl_Data2[[#This Row],[Amount_Deviation]]&lt;3,6,
tbl_Data2[[#This Row],[Amount_Deviation]]&lt;6,8,
tbl_Data2[[#This Row],[Amount_Deviation]]&gt;=6,10
)</f>
        <v>2</v>
      </c>
      <c r="O9">
        <f>ROUND(
    (tbl_Data2[[#This Row],[Geo_Score]]*0.2) +
    (tbl_Data2[[#This Row],[Velocity_Score]]*0.25) +
    (tbl_Data2[[#This Row],[Volume_Score]]*0.25) +
    (tbl_Data2[[#This Row],[Deviation_Score]]*0.3),
1
)</f>
        <v>5.3</v>
      </c>
      <c r="P9" t="str" cm="1">
        <f t="array" ref="P9">_xlfn.IFS(
tbl_Data2[[#This Row],[Final_Risk_Score]]&lt;5.5,"Low",
tbl_Data2[[#This Row],[Final_Risk_Score]]&lt;7.5,"Medium",
tbl_Data2[[#This Row],[Final_Risk_Score]]&gt;=7.5,"High"
)</f>
        <v>Low</v>
      </c>
      <c r="Q9" t="str" cm="1">
        <f t="array" ref="Q9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  <c r="S9" s="3" t="s">
        <v>311</v>
      </c>
      <c r="T9" s="3">
        <v>7</v>
      </c>
    </row>
    <row r="10" spans="1:20">
      <c r="A10" t="str">
        <f>tbl_data[[#This Row],[Customer_ID]]</f>
        <v>CUST-009</v>
      </c>
      <c r="B10" t="str">
        <f>tbl_data[[#This Row],[Customer_Type]]</f>
        <v>Business</v>
      </c>
      <c r="C10" t="str">
        <f>tbl_data[[#This Row],[Country]]</f>
        <v>UAE</v>
      </c>
      <c r="D10" t="str">
        <f>tbl_data[[#This Row],[Industry]]</f>
        <v>Consulting</v>
      </c>
      <c r="E10">
        <f>tbl_data[[#This Row],[Tx_Count_30D]]</f>
        <v>40</v>
      </c>
      <c r="F10">
        <f>tbl_data[[#This Row],[Total_Amount_30D]]</f>
        <v>42822</v>
      </c>
      <c r="G10">
        <f>tbl_data[[#This Row],[Avg_Tx_Count_6M]]</f>
        <v>24</v>
      </c>
      <c r="H10">
        <f>tbl_data[[#This Row],[Avg_Total_Amount_6M]]</f>
        <v>18612</v>
      </c>
      <c r="I10">
        <f>IFERROR(tbl_Data2[[#This Row],[Tx_Count_30D]]/tbl_Data2[[#This Row],[Avg_Tx_Count_6M]],0)</f>
        <v>1.6666666666666667</v>
      </c>
      <c r="J10">
        <f>IFERROR(tbl_Data2[[#This Row],[Total_Amount_30D]]/tbl_Data2[[#This Row],[Avg_Total_Amount_6M]],0)</f>
        <v>2.3007736943907156</v>
      </c>
      <c r="K10">
        <f>_xlfn.XLOOKUP(tbl_Data2[[#This Row],[Country]], Geo_Map[Country], Geo_Map[Score], 5)</f>
        <v>6</v>
      </c>
      <c r="L10" cm="1">
        <f t="array" ref="L10">_xlfn.IFS(tbl_Data2[[#This Row],[Tx_Count_30D]]&lt;=5,2,tbl_Data2[[#This Row],[Tx_Count_30D]]&lt;=15,5,tbl_Data2[[#This Row],[Tx_Count_30D]]&lt;=30,7,tbl_Data2[[#This Row],[Tx_Count_30D]]&gt;30,9)</f>
        <v>9</v>
      </c>
      <c r="M10" cm="1">
        <f t="array" ref="M10">_xlfn.IFS(
tbl_Data2[[#This Row],[Total_Amount_30D]]&lt;10000,2,
tbl_Data2[[#This Row],[Total_Amount_30D]]&lt;25000,5,
tbl_Data2[[#This Row],[Total_Amount_30D]]&lt;50000,7,
tbl_Data2[[#This Row],[Total_Amount_30D]]&gt;=50000,9
)</f>
        <v>7</v>
      </c>
      <c r="N10" cm="1">
        <f t="array" ref="N10">_xlfn.IFS(
tbl_Data2[[#This Row],[Amount_Deviation]]&lt;1.5,2,
tbl_Data2[[#This Row],[Amount_Deviation]]&lt;3,6,
tbl_Data2[[#This Row],[Amount_Deviation]]&lt;6,8,
tbl_Data2[[#This Row],[Amount_Deviation]]&gt;=6,10
)</f>
        <v>6</v>
      </c>
      <c r="O10">
        <f>ROUND(
    (tbl_Data2[[#This Row],[Geo_Score]]*0.2) +
    (tbl_Data2[[#This Row],[Velocity_Score]]*0.25) +
    (tbl_Data2[[#This Row],[Volume_Score]]*0.25) +
    (tbl_Data2[[#This Row],[Deviation_Score]]*0.3),
1
)</f>
        <v>7</v>
      </c>
      <c r="P10" t="str" cm="1">
        <f t="array" ref="P10">_xlfn.IFS(
tbl_Data2[[#This Row],[Final_Risk_Score]]&lt;5.5,"Low",
tbl_Data2[[#This Row],[Final_Risk_Score]]&lt;7.5,"Medium",
tbl_Data2[[#This Row],[Final_Risk_Score]]&gt;=7.5,"High"
)</f>
        <v>Medium</v>
      </c>
      <c r="Q10" t="str" cm="1">
        <f t="array" ref="Q10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  <c r="S10" s="3" t="s">
        <v>312</v>
      </c>
      <c r="T10" s="3">
        <v>8</v>
      </c>
    </row>
    <row r="11" spans="1:20" hidden="1">
      <c r="A11" t="str">
        <f>tbl_data[[#This Row],[Customer_ID]]</f>
        <v>CUST-010</v>
      </c>
      <c r="B11" t="str">
        <f>tbl_data[[#This Row],[Customer_Type]]</f>
        <v>Individual</v>
      </c>
      <c r="C11" t="str">
        <f>tbl_data[[#This Row],[Country]]</f>
        <v>UAE</v>
      </c>
      <c r="D11" t="str">
        <f>tbl_data[[#This Row],[Industry]]</f>
        <v>Import/Export</v>
      </c>
      <c r="E11">
        <f>tbl_data[[#This Row],[Tx_Count_30D]]</f>
        <v>41</v>
      </c>
      <c r="F11">
        <f>tbl_data[[#This Row],[Total_Amount_30D]]</f>
        <v>32781</v>
      </c>
      <c r="G11">
        <f>tbl_data[[#This Row],[Avg_Tx_Count_6M]]</f>
        <v>31</v>
      </c>
      <c r="H11">
        <f>tbl_data[[#This Row],[Avg_Total_Amount_6M]]</f>
        <v>2709</v>
      </c>
      <c r="I11">
        <f>IFERROR(tbl_Data2[[#This Row],[Tx_Count_30D]]/tbl_Data2[[#This Row],[Avg_Tx_Count_6M]],0)</f>
        <v>1.3225806451612903</v>
      </c>
      <c r="J11">
        <f>IFERROR(tbl_Data2[[#This Row],[Total_Amount_30D]]/tbl_Data2[[#This Row],[Avg_Total_Amount_6M]],0)</f>
        <v>12.10077519379845</v>
      </c>
      <c r="K11">
        <f>_xlfn.XLOOKUP(tbl_Data2[[#This Row],[Country]], Geo_Map[Country], Geo_Map[Score], 5)</f>
        <v>6</v>
      </c>
      <c r="L11" cm="1">
        <f t="array" ref="L11">_xlfn.IFS(tbl_Data2[[#This Row],[Tx_Count_30D]]&lt;=5,2,tbl_Data2[[#This Row],[Tx_Count_30D]]&lt;=15,5,tbl_Data2[[#This Row],[Tx_Count_30D]]&lt;=30,7,tbl_Data2[[#This Row],[Tx_Count_30D]]&gt;30,9)</f>
        <v>9</v>
      </c>
      <c r="M11" cm="1">
        <f t="array" ref="M11">_xlfn.IFS(
tbl_Data2[[#This Row],[Total_Amount_30D]]&lt;10000,2,
tbl_Data2[[#This Row],[Total_Amount_30D]]&lt;25000,5,
tbl_Data2[[#This Row],[Total_Amount_30D]]&lt;50000,7,
tbl_Data2[[#This Row],[Total_Amount_30D]]&gt;=50000,9
)</f>
        <v>7</v>
      </c>
      <c r="N11" cm="1">
        <f t="array" ref="N11">_xlfn.IFS(
tbl_Data2[[#This Row],[Amount_Deviation]]&lt;1.5,2,
tbl_Data2[[#This Row],[Amount_Deviation]]&lt;3,6,
tbl_Data2[[#This Row],[Amount_Deviation]]&lt;6,8,
tbl_Data2[[#This Row],[Amount_Deviation]]&gt;=6,10
)</f>
        <v>10</v>
      </c>
      <c r="O11">
        <f>ROUND(
    (tbl_Data2[[#This Row],[Geo_Score]]*0.2) +
    (tbl_Data2[[#This Row],[Velocity_Score]]*0.25) +
    (tbl_Data2[[#This Row],[Volume_Score]]*0.25) +
    (tbl_Data2[[#This Row],[Deviation_Score]]*0.3),
1
)</f>
        <v>8.1999999999999993</v>
      </c>
      <c r="P11" t="str" cm="1">
        <f t="array" ref="P11">_xlfn.IFS(
tbl_Data2[[#This Row],[Final_Risk_Score]]&lt;5.5,"Low",
tbl_Data2[[#This Row],[Final_Risk_Score]]&lt;7.5,"Medium",
tbl_Data2[[#This Row],[Final_Risk_Score]]&gt;=7.5,"High"
)</f>
        <v>High</v>
      </c>
      <c r="Q11" t="str" cm="1">
        <f t="array" ref="Q11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  <c r="S11" s="3" t="s">
        <v>331</v>
      </c>
      <c r="T11" s="3">
        <v>8</v>
      </c>
    </row>
    <row r="12" spans="1:20" hidden="1">
      <c r="A12" t="str">
        <f>tbl_data[[#This Row],[Customer_ID]]</f>
        <v>CUST-011</v>
      </c>
      <c r="B12" t="str">
        <f>tbl_data[[#This Row],[Customer_Type]]</f>
        <v>Business</v>
      </c>
      <c r="C12" t="str">
        <f>tbl_data[[#This Row],[Country]]</f>
        <v>USA</v>
      </c>
      <c r="D12" t="str">
        <f>tbl_data[[#This Row],[Industry]]</f>
        <v>Logistics</v>
      </c>
      <c r="E12">
        <f>tbl_data[[#This Row],[Tx_Count_30D]]</f>
        <v>21</v>
      </c>
      <c r="F12">
        <f>tbl_data[[#This Row],[Total_Amount_30D]]</f>
        <v>9224</v>
      </c>
      <c r="G12">
        <f>tbl_data[[#This Row],[Avg_Tx_Count_6M]]</f>
        <v>11</v>
      </c>
      <c r="H12">
        <f>tbl_data[[#This Row],[Avg_Total_Amount_6M]]</f>
        <v>3631</v>
      </c>
      <c r="I12">
        <f>IFERROR(tbl_Data2[[#This Row],[Tx_Count_30D]]/tbl_Data2[[#This Row],[Avg_Tx_Count_6M]],0)</f>
        <v>1.9090909090909092</v>
      </c>
      <c r="J12">
        <f>IFERROR(tbl_Data2[[#This Row],[Total_Amount_30D]]/tbl_Data2[[#This Row],[Avg_Total_Amount_6M]],0)</f>
        <v>2.5403470118424676</v>
      </c>
      <c r="K12">
        <f>_xlfn.XLOOKUP(tbl_Data2[[#This Row],[Country]], Geo_Map[Country], Geo_Map[Score], 5)</f>
        <v>1</v>
      </c>
      <c r="L12" cm="1">
        <f t="array" ref="L12">_xlfn.IFS(tbl_Data2[[#This Row],[Tx_Count_30D]]&lt;=5,2,tbl_Data2[[#This Row],[Tx_Count_30D]]&lt;=15,5,tbl_Data2[[#This Row],[Tx_Count_30D]]&lt;=30,7,tbl_Data2[[#This Row],[Tx_Count_30D]]&gt;30,9)</f>
        <v>7</v>
      </c>
      <c r="M12" cm="1">
        <f t="array" ref="M12">_xlfn.IFS(
tbl_Data2[[#This Row],[Total_Amount_30D]]&lt;10000,2,
tbl_Data2[[#This Row],[Total_Amount_30D]]&lt;25000,5,
tbl_Data2[[#This Row],[Total_Amount_30D]]&lt;50000,7,
tbl_Data2[[#This Row],[Total_Amount_30D]]&gt;=50000,9
)</f>
        <v>2</v>
      </c>
      <c r="N12" cm="1">
        <f t="array" ref="N12">_xlfn.IFS(
tbl_Data2[[#This Row],[Amount_Deviation]]&lt;1.5,2,
tbl_Data2[[#This Row],[Amount_Deviation]]&lt;3,6,
tbl_Data2[[#This Row],[Amount_Deviation]]&lt;6,8,
tbl_Data2[[#This Row],[Amount_Deviation]]&gt;=6,10
)</f>
        <v>6</v>
      </c>
      <c r="O12">
        <f>ROUND(
    (tbl_Data2[[#This Row],[Geo_Score]]*0.2) +
    (tbl_Data2[[#This Row],[Velocity_Score]]*0.25) +
    (tbl_Data2[[#This Row],[Volume_Score]]*0.25) +
    (tbl_Data2[[#This Row],[Deviation_Score]]*0.3),
1
)</f>
        <v>4.3</v>
      </c>
      <c r="P12" t="str" cm="1">
        <f t="array" ref="P12">_xlfn.IFS(
tbl_Data2[[#This Row],[Final_Risk_Score]]&lt;5.5,"Low",
tbl_Data2[[#This Row],[Final_Risk_Score]]&lt;7.5,"Medium",
tbl_Data2[[#This Row],[Final_Risk_Score]]&gt;=7.5,"High"
)</f>
        <v>Low</v>
      </c>
      <c r="Q12" t="str" cm="1">
        <f t="array" ref="Q12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  <c r="S12" s="3" t="s">
        <v>313</v>
      </c>
      <c r="T12" s="3">
        <v>9</v>
      </c>
    </row>
    <row r="13" spans="1:20">
      <c r="A13" t="str">
        <f>tbl_data[[#This Row],[Customer_ID]]</f>
        <v>CUST-012</v>
      </c>
      <c r="B13" t="str">
        <f>tbl_data[[#This Row],[Customer_Type]]</f>
        <v>Business</v>
      </c>
      <c r="C13" t="str">
        <f>tbl_data[[#This Row],[Country]]</f>
        <v>BVI</v>
      </c>
      <c r="D13" t="str">
        <f>tbl_data[[#This Row],[Industry]]</f>
        <v>Import/Export</v>
      </c>
      <c r="E13">
        <f>tbl_data[[#This Row],[Tx_Count_30D]]</f>
        <v>56</v>
      </c>
      <c r="F13">
        <f>tbl_data[[#This Row],[Total_Amount_30D]]</f>
        <v>112217</v>
      </c>
      <c r="G13">
        <f>tbl_data[[#This Row],[Avg_Tx_Count_6M]]</f>
        <v>31</v>
      </c>
      <c r="H13">
        <f>tbl_data[[#This Row],[Avg_Total_Amount_6M]]</f>
        <v>77750</v>
      </c>
      <c r="I13">
        <f>IFERROR(tbl_Data2[[#This Row],[Tx_Count_30D]]/tbl_Data2[[#This Row],[Avg_Tx_Count_6M]],0)</f>
        <v>1.8064516129032258</v>
      </c>
      <c r="J13">
        <f>IFERROR(tbl_Data2[[#This Row],[Total_Amount_30D]]/tbl_Data2[[#This Row],[Avg_Total_Amount_6M]],0)</f>
        <v>1.4433054662379421</v>
      </c>
      <c r="K13">
        <f>_xlfn.XLOOKUP(tbl_Data2[[#This Row],[Country]], Geo_Map[Country], Geo_Map[Score], 5)</f>
        <v>9</v>
      </c>
      <c r="L13" cm="1">
        <f t="array" ref="L13">_xlfn.IFS(tbl_Data2[[#This Row],[Tx_Count_30D]]&lt;=5,2,tbl_Data2[[#This Row],[Tx_Count_30D]]&lt;=15,5,tbl_Data2[[#This Row],[Tx_Count_30D]]&lt;=30,7,tbl_Data2[[#This Row],[Tx_Count_30D]]&gt;30,9)</f>
        <v>9</v>
      </c>
      <c r="M13" cm="1">
        <f t="array" ref="M13">_xlfn.IFS(
tbl_Data2[[#This Row],[Total_Amount_30D]]&lt;10000,2,
tbl_Data2[[#This Row],[Total_Amount_30D]]&lt;25000,5,
tbl_Data2[[#This Row],[Total_Amount_30D]]&lt;50000,7,
tbl_Data2[[#This Row],[Total_Amount_30D]]&gt;=50000,9
)</f>
        <v>9</v>
      </c>
      <c r="N13" cm="1">
        <f t="array" ref="N13">_xlfn.IFS(
tbl_Data2[[#This Row],[Amount_Deviation]]&lt;1.5,2,
tbl_Data2[[#This Row],[Amount_Deviation]]&lt;3,6,
tbl_Data2[[#This Row],[Amount_Deviation]]&lt;6,8,
tbl_Data2[[#This Row],[Amount_Deviation]]&gt;=6,10
)</f>
        <v>2</v>
      </c>
      <c r="O13">
        <f>ROUND(
    (tbl_Data2[[#This Row],[Geo_Score]]*0.2) +
    (tbl_Data2[[#This Row],[Velocity_Score]]*0.25) +
    (tbl_Data2[[#This Row],[Volume_Score]]*0.25) +
    (tbl_Data2[[#This Row],[Deviation_Score]]*0.3),
1
)</f>
        <v>6.9</v>
      </c>
      <c r="P13" t="str" cm="1">
        <f t="array" ref="P13">_xlfn.IFS(
tbl_Data2[[#This Row],[Final_Risk_Score]]&lt;5.5,"Low",
tbl_Data2[[#This Row],[Final_Risk_Score]]&lt;7.5,"Medium",
tbl_Data2[[#This Row],[Final_Risk_Score]]&gt;=7.5,"High"
)</f>
        <v>Medium</v>
      </c>
      <c r="Q13" t="str" cm="1">
        <f t="array" ref="Q13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  <c r="S13" s="3" t="s">
        <v>315</v>
      </c>
      <c r="T13" s="3">
        <v>9</v>
      </c>
    </row>
    <row r="14" spans="1:20">
      <c r="A14" t="str">
        <f>tbl_data[[#This Row],[Customer_ID]]</f>
        <v>CUST-013</v>
      </c>
      <c r="B14" t="str">
        <f>tbl_data[[#This Row],[Customer_Type]]</f>
        <v>Business</v>
      </c>
      <c r="C14" t="str">
        <f>tbl_data[[#This Row],[Country]]</f>
        <v>Cyprus</v>
      </c>
      <c r="D14" t="str">
        <f>tbl_data[[#This Row],[Industry]]</f>
        <v>Manufacturing</v>
      </c>
      <c r="E14">
        <f>tbl_data[[#This Row],[Tx_Count_30D]]</f>
        <v>31</v>
      </c>
      <c r="F14">
        <f>tbl_data[[#This Row],[Total_Amount_30D]]</f>
        <v>42685</v>
      </c>
      <c r="G14">
        <f>tbl_data[[#This Row],[Avg_Tx_Count_6M]]</f>
        <v>1</v>
      </c>
      <c r="H14">
        <f>tbl_data[[#This Row],[Avg_Total_Amount_6M]]</f>
        <v>18764</v>
      </c>
      <c r="I14">
        <f>IFERROR(tbl_Data2[[#This Row],[Tx_Count_30D]]/tbl_Data2[[#This Row],[Avg_Tx_Count_6M]],0)</f>
        <v>31</v>
      </c>
      <c r="J14">
        <f>IFERROR(tbl_Data2[[#This Row],[Total_Amount_30D]]/tbl_Data2[[#This Row],[Avg_Total_Amount_6M]],0)</f>
        <v>2.2748347900234491</v>
      </c>
      <c r="K14">
        <f>_xlfn.XLOOKUP(tbl_Data2[[#This Row],[Country]], Geo_Map[Country], Geo_Map[Score], 5)</f>
        <v>7</v>
      </c>
      <c r="L14" cm="1">
        <f t="array" ref="L14">_xlfn.IFS(tbl_Data2[[#This Row],[Tx_Count_30D]]&lt;=5,2,tbl_Data2[[#This Row],[Tx_Count_30D]]&lt;=15,5,tbl_Data2[[#This Row],[Tx_Count_30D]]&lt;=30,7,tbl_Data2[[#This Row],[Tx_Count_30D]]&gt;30,9)</f>
        <v>9</v>
      </c>
      <c r="M14" cm="1">
        <f t="array" ref="M14">_xlfn.IFS(
tbl_Data2[[#This Row],[Total_Amount_30D]]&lt;10000,2,
tbl_Data2[[#This Row],[Total_Amount_30D]]&lt;25000,5,
tbl_Data2[[#This Row],[Total_Amount_30D]]&lt;50000,7,
tbl_Data2[[#This Row],[Total_Amount_30D]]&gt;=50000,9
)</f>
        <v>7</v>
      </c>
      <c r="N14" cm="1">
        <f t="array" ref="N14">_xlfn.IFS(
tbl_Data2[[#This Row],[Amount_Deviation]]&lt;1.5,2,
tbl_Data2[[#This Row],[Amount_Deviation]]&lt;3,6,
tbl_Data2[[#This Row],[Amount_Deviation]]&lt;6,8,
tbl_Data2[[#This Row],[Amount_Deviation]]&gt;=6,10
)</f>
        <v>6</v>
      </c>
      <c r="O14">
        <f>ROUND(
    (tbl_Data2[[#This Row],[Geo_Score]]*0.2) +
    (tbl_Data2[[#This Row],[Velocity_Score]]*0.25) +
    (tbl_Data2[[#This Row],[Volume_Score]]*0.25) +
    (tbl_Data2[[#This Row],[Deviation_Score]]*0.3),
1
)</f>
        <v>7.2</v>
      </c>
      <c r="P14" t="str" cm="1">
        <f t="array" ref="P14">_xlfn.IFS(
tbl_Data2[[#This Row],[Final_Risk_Score]]&lt;5.5,"Low",
tbl_Data2[[#This Row],[Final_Risk_Score]]&lt;7.5,"Medium",
tbl_Data2[[#This Row],[Final_Risk_Score]]&gt;=7.5,"High"
)</f>
        <v>Medium</v>
      </c>
      <c r="Q14" t="str" cm="1">
        <f t="array" ref="Q14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5" spans="1:20" hidden="1">
      <c r="A15" t="str">
        <f>tbl_data[[#This Row],[Customer_ID]]</f>
        <v>CUST-014</v>
      </c>
      <c r="B15" t="str">
        <f>tbl_data[[#This Row],[Customer_Type]]</f>
        <v>Individual</v>
      </c>
      <c r="C15" t="str">
        <f>tbl_data[[#This Row],[Country]]</f>
        <v>Panama</v>
      </c>
      <c r="D15" t="str">
        <f>tbl_data[[#This Row],[Industry]]</f>
        <v>Logistics</v>
      </c>
      <c r="E15">
        <f>tbl_data[[#This Row],[Tx_Count_30D]]</f>
        <v>48</v>
      </c>
      <c r="F15">
        <f>tbl_data[[#This Row],[Total_Amount_30D]]</f>
        <v>104430</v>
      </c>
      <c r="G15">
        <f>tbl_data[[#This Row],[Avg_Tx_Count_6M]]</f>
        <v>27</v>
      </c>
      <c r="H15">
        <f>tbl_data[[#This Row],[Avg_Total_Amount_6M]]</f>
        <v>6192</v>
      </c>
      <c r="I15">
        <f>IFERROR(tbl_Data2[[#This Row],[Tx_Count_30D]]/tbl_Data2[[#This Row],[Avg_Tx_Count_6M]],0)</f>
        <v>1.7777777777777777</v>
      </c>
      <c r="J15">
        <f>IFERROR(tbl_Data2[[#This Row],[Total_Amount_30D]]/tbl_Data2[[#This Row],[Avg_Total_Amount_6M]],0)</f>
        <v>16.865310077519378</v>
      </c>
      <c r="K15">
        <f>_xlfn.XLOOKUP(tbl_Data2[[#This Row],[Country]], Geo_Map[Country], Geo_Map[Score], 5)</f>
        <v>8</v>
      </c>
      <c r="L15" cm="1">
        <f t="array" ref="L15">_xlfn.IFS(tbl_Data2[[#This Row],[Tx_Count_30D]]&lt;=5,2,tbl_Data2[[#This Row],[Tx_Count_30D]]&lt;=15,5,tbl_Data2[[#This Row],[Tx_Count_30D]]&lt;=30,7,tbl_Data2[[#This Row],[Tx_Count_30D]]&gt;30,9)</f>
        <v>9</v>
      </c>
      <c r="M15" cm="1">
        <f t="array" ref="M15">_xlfn.IFS(
tbl_Data2[[#This Row],[Total_Amount_30D]]&lt;10000,2,
tbl_Data2[[#This Row],[Total_Amount_30D]]&lt;25000,5,
tbl_Data2[[#This Row],[Total_Amount_30D]]&lt;50000,7,
tbl_Data2[[#This Row],[Total_Amount_30D]]&gt;=50000,9
)</f>
        <v>9</v>
      </c>
      <c r="N15" cm="1">
        <f t="array" ref="N15">_xlfn.IFS(
tbl_Data2[[#This Row],[Amount_Deviation]]&lt;1.5,2,
tbl_Data2[[#This Row],[Amount_Deviation]]&lt;3,6,
tbl_Data2[[#This Row],[Amount_Deviation]]&lt;6,8,
tbl_Data2[[#This Row],[Amount_Deviation]]&gt;=6,10
)</f>
        <v>10</v>
      </c>
      <c r="O15">
        <f>ROUND(
    (tbl_Data2[[#This Row],[Geo_Score]]*0.2) +
    (tbl_Data2[[#This Row],[Velocity_Score]]*0.25) +
    (tbl_Data2[[#This Row],[Volume_Score]]*0.25) +
    (tbl_Data2[[#This Row],[Deviation_Score]]*0.3),
1
)</f>
        <v>9.1</v>
      </c>
      <c r="P15" t="str" cm="1">
        <f t="array" ref="P15">_xlfn.IFS(
tbl_Data2[[#This Row],[Final_Risk_Score]]&lt;5.5,"Low",
tbl_Data2[[#This Row],[Final_Risk_Score]]&lt;7.5,"Medium",
tbl_Data2[[#This Row],[Final_Risk_Score]]&gt;=7.5,"High"
)</f>
        <v>High</v>
      </c>
      <c r="Q15" t="str" cm="1">
        <f t="array" ref="Q15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16" spans="1:20" hidden="1">
      <c r="A16" t="str">
        <f>tbl_data[[#This Row],[Customer_ID]]</f>
        <v>CUST-015</v>
      </c>
      <c r="B16" t="str">
        <f>tbl_data[[#This Row],[Customer_Type]]</f>
        <v>Individual</v>
      </c>
      <c r="C16" t="str">
        <f>tbl_data[[#This Row],[Country]]</f>
        <v>UAE</v>
      </c>
      <c r="D16" t="str">
        <f>tbl_data[[#This Row],[Industry]]</f>
        <v>Trading</v>
      </c>
      <c r="E16">
        <f>tbl_data[[#This Row],[Tx_Count_30D]]</f>
        <v>49</v>
      </c>
      <c r="F16">
        <f>tbl_data[[#This Row],[Total_Amount_30D]]</f>
        <v>73237</v>
      </c>
      <c r="G16">
        <f>tbl_data[[#This Row],[Avg_Tx_Count_6M]]</f>
        <v>36</v>
      </c>
      <c r="H16">
        <f>tbl_data[[#This Row],[Avg_Total_Amount_6M]]</f>
        <v>40739</v>
      </c>
      <c r="I16">
        <f>IFERROR(tbl_Data2[[#This Row],[Tx_Count_30D]]/tbl_Data2[[#This Row],[Avg_Tx_Count_6M]],0)</f>
        <v>1.3611111111111112</v>
      </c>
      <c r="J16">
        <f>IFERROR(tbl_Data2[[#This Row],[Total_Amount_30D]]/tbl_Data2[[#This Row],[Avg_Total_Amount_6M]],0)</f>
        <v>1.7977122658877243</v>
      </c>
      <c r="K16">
        <f>_xlfn.XLOOKUP(tbl_Data2[[#This Row],[Country]], Geo_Map[Country], Geo_Map[Score], 5)</f>
        <v>6</v>
      </c>
      <c r="L16" cm="1">
        <f t="array" ref="L16">_xlfn.IFS(tbl_Data2[[#This Row],[Tx_Count_30D]]&lt;=5,2,tbl_Data2[[#This Row],[Tx_Count_30D]]&lt;=15,5,tbl_Data2[[#This Row],[Tx_Count_30D]]&lt;=30,7,tbl_Data2[[#This Row],[Tx_Count_30D]]&gt;30,9)</f>
        <v>9</v>
      </c>
      <c r="M16" cm="1">
        <f t="array" ref="M16">_xlfn.IFS(
tbl_Data2[[#This Row],[Total_Amount_30D]]&lt;10000,2,
tbl_Data2[[#This Row],[Total_Amount_30D]]&lt;25000,5,
tbl_Data2[[#This Row],[Total_Amount_30D]]&lt;50000,7,
tbl_Data2[[#This Row],[Total_Amount_30D]]&gt;=50000,9
)</f>
        <v>9</v>
      </c>
      <c r="N16" cm="1">
        <f t="array" ref="N16">_xlfn.IFS(
tbl_Data2[[#This Row],[Amount_Deviation]]&lt;1.5,2,
tbl_Data2[[#This Row],[Amount_Deviation]]&lt;3,6,
tbl_Data2[[#This Row],[Amount_Deviation]]&lt;6,8,
tbl_Data2[[#This Row],[Amount_Deviation]]&gt;=6,10
)</f>
        <v>6</v>
      </c>
      <c r="O16">
        <f>ROUND(
    (tbl_Data2[[#This Row],[Geo_Score]]*0.2) +
    (tbl_Data2[[#This Row],[Velocity_Score]]*0.25) +
    (tbl_Data2[[#This Row],[Volume_Score]]*0.25) +
    (tbl_Data2[[#This Row],[Deviation_Score]]*0.3),
1
)</f>
        <v>7.5</v>
      </c>
      <c r="P16" t="str" cm="1">
        <f t="array" ref="P16">_xlfn.IFS(
tbl_Data2[[#This Row],[Final_Risk_Score]]&lt;5.5,"Low",
tbl_Data2[[#This Row],[Final_Risk_Score]]&lt;7.5,"Medium",
tbl_Data2[[#This Row],[Final_Risk_Score]]&gt;=7.5,"High"
)</f>
        <v>High</v>
      </c>
      <c r="Q16" t="str" cm="1">
        <f t="array" ref="Q16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17" spans="1:17" hidden="1">
      <c r="A17" t="str">
        <f>tbl_data[[#This Row],[Customer_ID]]</f>
        <v>CUST-016</v>
      </c>
      <c r="B17" t="str">
        <f>tbl_data[[#This Row],[Customer_Type]]</f>
        <v>Business</v>
      </c>
      <c r="C17" t="str">
        <f>tbl_data[[#This Row],[Country]]</f>
        <v>UAE</v>
      </c>
      <c r="D17" t="str">
        <f>tbl_data[[#This Row],[Industry]]</f>
        <v>Manufacturing</v>
      </c>
      <c r="E17">
        <f>tbl_data[[#This Row],[Tx_Count_30D]]</f>
        <v>54</v>
      </c>
      <c r="F17">
        <f>tbl_data[[#This Row],[Total_Amount_30D]]</f>
        <v>63111</v>
      </c>
      <c r="G17">
        <f>tbl_data[[#This Row],[Avg_Tx_Count_6M]]</f>
        <v>33</v>
      </c>
      <c r="H17">
        <f>tbl_data[[#This Row],[Avg_Total_Amount_6M]]</f>
        <v>3588</v>
      </c>
      <c r="I17">
        <f>IFERROR(tbl_Data2[[#This Row],[Tx_Count_30D]]/tbl_Data2[[#This Row],[Avg_Tx_Count_6M]],0)</f>
        <v>1.6363636363636365</v>
      </c>
      <c r="J17">
        <f>IFERROR(tbl_Data2[[#This Row],[Total_Amount_30D]]/tbl_Data2[[#This Row],[Avg_Total_Amount_6M]],0)</f>
        <v>17.589464882943144</v>
      </c>
      <c r="K17">
        <f>_xlfn.XLOOKUP(tbl_Data2[[#This Row],[Country]], Geo_Map[Country], Geo_Map[Score], 5)</f>
        <v>6</v>
      </c>
      <c r="L17" cm="1">
        <f t="array" ref="L17">_xlfn.IFS(tbl_Data2[[#This Row],[Tx_Count_30D]]&lt;=5,2,tbl_Data2[[#This Row],[Tx_Count_30D]]&lt;=15,5,tbl_Data2[[#This Row],[Tx_Count_30D]]&lt;=30,7,tbl_Data2[[#This Row],[Tx_Count_30D]]&gt;30,9)</f>
        <v>9</v>
      </c>
      <c r="M17" cm="1">
        <f t="array" ref="M17">_xlfn.IFS(
tbl_Data2[[#This Row],[Total_Amount_30D]]&lt;10000,2,
tbl_Data2[[#This Row],[Total_Amount_30D]]&lt;25000,5,
tbl_Data2[[#This Row],[Total_Amount_30D]]&lt;50000,7,
tbl_Data2[[#This Row],[Total_Amount_30D]]&gt;=50000,9
)</f>
        <v>9</v>
      </c>
      <c r="N17" cm="1">
        <f t="array" ref="N17">_xlfn.IFS(
tbl_Data2[[#This Row],[Amount_Deviation]]&lt;1.5,2,
tbl_Data2[[#This Row],[Amount_Deviation]]&lt;3,6,
tbl_Data2[[#This Row],[Amount_Deviation]]&lt;6,8,
tbl_Data2[[#This Row],[Amount_Deviation]]&gt;=6,10
)</f>
        <v>10</v>
      </c>
      <c r="O17">
        <f>ROUND(
    (tbl_Data2[[#This Row],[Geo_Score]]*0.2) +
    (tbl_Data2[[#This Row],[Velocity_Score]]*0.25) +
    (tbl_Data2[[#This Row],[Volume_Score]]*0.25) +
    (tbl_Data2[[#This Row],[Deviation_Score]]*0.3),
1
)</f>
        <v>8.6999999999999993</v>
      </c>
      <c r="P17" t="str" cm="1">
        <f t="array" ref="P17">_xlfn.IFS(
tbl_Data2[[#This Row],[Final_Risk_Score]]&lt;5.5,"Low",
tbl_Data2[[#This Row],[Final_Risk_Score]]&lt;7.5,"Medium",
tbl_Data2[[#This Row],[Final_Risk_Score]]&gt;=7.5,"High"
)</f>
        <v>High</v>
      </c>
      <c r="Q17" t="str" cm="1">
        <f t="array" ref="Q17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18" spans="1:17" hidden="1">
      <c r="A18" t="str">
        <f>tbl_data[[#This Row],[Customer_ID]]</f>
        <v>CUST-017</v>
      </c>
      <c r="B18" t="str">
        <f>tbl_data[[#This Row],[Customer_Type]]</f>
        <v>Business</v>
      </c>
      <c r="C18" t="str">
        <f>tbl_data[[#This Row],[Country]]</f>
        <v>Seychelles</v>
      </c>
      <c r="D18" t="str">
        <f>tbl_data[[#This Row],[Industry]]</f>
        <v>Manufacturing</v>
      </c>
      <c r="E18">
        <f>tbl_data[[#This Row],[Tx_Count_30D]]</f>
        <v>5</v>
      </c>
      <c r="F18">
        <f>tbl_data[[#This Row],[Total_Amount_30D]]</f>
        <v>13248</v>
      </c>
      <c r="G18">
        <f>tbl_data[[#This Row],[Avg_Tx_Count_6M]]</f>
        <v>39</v>
      </c>
      <c r="H18">
        <f>tbl_data[[#This Row],[Avg_Total_Amount_6M]]</f>
        <v>25733</v>
      </c>
      <c r="I18">
        <f>IFERROR(tbl_Data2[[#This Row],[Tx_Count_30D]]/tbl_Data2[[#This Row],[Avg_Tx_Count_6M]],0)</f>
        <v>0.12820512820512819</v>
      </c>
      <c r="J18">
        <f>IFERROR(tbl_Data2[[#This Row],[Total_Amount_30D]]/tbl_Data2[[#This Row],[Avg_Total_Amount_6M]],0)</f>
        <v>0.51482532157152294</v>
      </c>
      <c r="K18">
        <f>_xlfn.XLOOKUP(tbl_Data2[[#This Row],[Country]], Geo_Map[Country], Geo_Map[Score], 5)</f>
        <v>9</v>
      </c>
      <c r="L18" cm="1">
        <f t="array" ref="L18">_xlfn.IFS(tbl_Data2[[#This Row],[Tx_Count_30D]]&lt;=5,2,tbl_Data2[[#This Row],[Tx_Count_30D]]&lt;=15,5,tbl_Data2[[#This Row],[Tx_Count_30D]]&lt;=30,7,tbl_Data2[[#This Row],[Tx_Count_30D]]&gt;30,9)</f>
        <v>2</v>
      </c>
      <c r="M18" cm="1">
        <f t="array" ref="M18">_xlfn.IFS(
tbl_Data2[[#This Row],[Total_Amount_30D]]&lt;10000,2,
tbl_Data2[[#This Row],[Total_Amount_30D]]&lt;25000,5,
tbl_Data2[[#This Row],[Total_Amount_30D]]&lt;50000,7,
tbl_Data2[[#This Row],[Total_Amount_30D]]&gt;=50000,9
)</f>
        <v>5</v>
      </c>
      <c r="N18" cm="1">
        <f t="array" ref="N18">_xlfn.IFS(
tbl_Data2[[#This Row],[Amount_Deviation]]&lt;1.5,2,
tbl_Data2[[#This Row],[Amount_Deviation]]&lt;3,6,
tbl_Data2[[#This Row],[Amount_Deviation]]&lt;6,8,
tbl_Data2[[#This Row],[Amount_Deviation]]&gt;=6,10
)</f>
        <v>2</v>
      </c>
      <c r="O18">
        <f>ROUND(
    (tbl_Data2[[#This Row],[Geo_Score]]*0.2) +
    (tbl_Data2[[#This Row],[Velocity_Score]]*0.25) +
    (tbl_Data2[[#This Row],[Volume_Score]]*0.25) +
    (tbl_Data2[[#This Row],[Deviation_Score]]*0.3),
1
)</f>
        <v>4.2</v>
      </c>
      <c r="P18" t="str" cm="1">
        <f t="array" ref="P18">_xlfn.IFS(
tbl_Data2[[#This Row],[Final_Risk_Score]]&lt;5.5,"Low",
tbl_Data2[[#This Row],[Final_Risk_Score]]&lt;7.5,"Medium",
tbl_Data2[[#This Row],[Final_Risk_Score]]&gt;=7.5,"High"
)</f>
        <v>Low</v>
      </c>
      <c r="Q18" t="str" cm="1">
        <f t="array" ref="Q18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19" spans="1:17">
      <c r="A19" t="str">
        <f>tbl_data[[#This Row],[Customer_ID]]</f>
        <v>CUST-018</v>
      </c>
      <c r="B19" t="str">
        <f>tbl_data[[#This Row],[Customer_Type]]</f>
        <v>Individual</v>
      </c>
      <c r="C19" t="str">
        <f>tbl_data[[#This Row],[Country]]</f>
        <v>Seychelles</v>
      </c>
      <c r="D19" t="str">
        <f>tbl_data[[#This Row],[Industry]]</f>
        <v>Logistics</v>
      </c>
      <c r="E19">
        <f>tbl_data[[#This Row],[Tx_Count_30D]]</f>
        <v>13</v>
      </c>
      <c r="F19">
        <f>tbl_data[[#This Row],[Total_Amount_30D]]</f>
        <v>80266</v>
      </c>
      <c r="G19">
        <f>tbl_data[[#This Row],[Avg_Tx_Count_6M]]</f>
        <v>40</v>
      </c>
      <c r="H19">
        <f>tbl_data[[#This Row],[Avg_Total_Amount_6M]]</f>
        <v>34876</v>
      </c>
      <c r="I19">
        <f>IFERROR(tbl_Data2[[#This Row],[Tx_Count_30D]]/tbl_Data2[[#This Row],[Avg_Tx_Count_6M]],0)</f>
        <v>0.32500000000000001</v>
      </c>
      <c r="J19">
        <f>IFERROR(tbl_Data2[[#This Row],[Total_Amount_30D]]/tbl_Data2[[#This Row],[Avg_Total_Amount_6M]],0)</f>
        <v>2.3014680582635623</v>
      </c>
      <c r="K19">
        <f>_xlfn.XLOOKUP(tbl_Data2[[#This Row],[Country]], Geo_Map[Country], Geo_Map[Score], 5)</f>
        <v>9</v>
      </c>
      <c r="L19" cm="1">
        <f t="array" ref="L19">_xlfn.IFS(tbl_Data2[[#This Row],[Tx_Count_30D]]&lt;=5,2,tbl_Data2[[#This Row],[Tx_Count_30D]]&lt;=15,5,tbl_Data2[[#This Row],[Tx_Count_30D]]&lt;=30,7,tbl_Data2[[#This Row],[Tx_Count_30D]]&gt;30,9)</f>
        <v>5</v>
      </c>
      <c r="M19" cm="1">
        <f t="array" ref="M19">_xlfn.IFS(
tbl_Data2[[#This Row],[Total_Amount_30D]]&lt;10000,2,
tbl_Data2[[#This Row],[Total_Amount_30D]]&lt;25000,5,
tbl_Data2[[#This Row],[Total_Amount_30D]]&lt;50000,7,
tbl_Data2[[#This Row],[Total_Amount_30D]]&gt;=50000,9
)</f>
        <v>9</v>
      </c>
      <c r="N19" cm="1">
        <f t="array" ref="N19">_xlfn.IFS(
tbl_Data2[[#This Row],[Amount_Deviation]]&lt;1.5,2,
tbl_Data2[[#This Row],[Amount_Deviation]]&lt;3,6,
tbl_Data2[[#This Row],[Amount_Deviation]]&lt;6,8,
tbl_Data2[[#This Row],[Amount_Deviation]]&gt;=6,10
)</f>
        <v>6</v>
      </c>
      <c r="O19">
        <f>ROUND(
    (tbl_Data2[[#This Row],[Geo_Score]]*0.2) +
    (tbl_Data2[[#This Row],[Velocity_Score]]*0.25) +
    (tbl_Data2[[#This Row],[Volume_Score]]*0.25) +
    (tbl_Data2[[#This Row],[Deviation_Score]]*0.3),
1
)</f>
        <v>7.1</v>
      </c>
      <c r="P19" t="str" cm="1">
        <f t="array" ref="P19">_xlfn.IFS(
tbl_Data2[[#This Row],[Final_Risk_Score]]&lt;5.5,"Low",
tbl_Data2[[#This Row],[Final_Risk_Score]]&lt;7.5,"Medium",
tbl_Data2[[#This Row],[Final_Risk_Score]]&gt;=7.5,"High"
)</f>
        <v>Medium</v>
      </c>
      <c r="Q19" t="str" cm="1">
        <f t="array" ref="Q19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0" spans="1:17" hidden="1">
      <c r="A20" t="str">
        <f>tbl_data[[#This Row],[Customer_ID]]</f>
        <v>CUST-019</v>
      </c>
      <c r="B20" t="str">
        <f>tbl_data[[#This Row],[Customer_Type]]</f>
        <v>Business</v>
      </c>
      <c r="C20" t="str">
        <f>tbl_data[[#This Row],[Country]]</f>
        <v>UAE</v>
      </c>
      <c r="D20" t="str">
        <f>tbl_data[[#This Row],[Industry]]</f>
        <v>Manufacturing</v>
      </c>
      <c r="E20">
        <f>tbl_data[[#This Row],[Tx_Count_30D]]</f>
        <v>52</v>
      </c>
      <c r="F20">
        <f>tbl_data[[#This Row],[Total_Amount_30D]]</f>
        <v>107924</v>
      </c>
      <c r="G20">
        <f>tbl_data[[#This Row],[Avg_Tx_Count_6M]]</f>
        <v>25</v>
      </c>
      <c r="H20">
        <f>tbl_data[[#This Row],[Avg_Total_Amount_6M]]</f>
        <v>41344</v>
      </c>
      <c r="I20">
        <f>IFERROR(tbl_Data2[[#This Row],[Tx_Count_30D]]/tbl_Data2[[#This Row],[Avg_Tx_Count_6M]],0)</f>
        <v>2.08</v>
      </c>
      <c r="J20">
        <f>IFERROR(tbl_Data2[[#This Row],[Total_Amount_30D]]/tbl_Data2[[#This Row],[Avg_Total_Amount_6M]],0)</f>
        <v>2.6103908668730651</v>
      </c>
      <c r="K20">
        <f>_xlfn.XLOOKUP(tbl_Data2[[#This Row],[Country]], Geo_Map[Country], Geo_Map[Score], 5)</f>
        <v>6</v>
      </c>
      <c r="L20" cm="1">
        <f t="array" ref="L20">_xlfn.IFS(tbl_Data2[[#This Row],[Tx_Count_30D]]&lt;=5,2,tbl_Data2[[#This Row],[Tx_Count_30D]]&lt;=15,5,tbl_Data2[[#This Row],[Tx_Count_30D]]&lt;=30,7,tbl_Data2[[#This Row],[Tx_Count_30D]]&gt;30,9)</f>
        <v>9</v>
      </c>
      <c r="M20" cm="1">
        <f t="array" ref="M20">_xlfn.IFS(
tbl_Data2[[#This Row],[Total_Amount_30D]]&lt;10000,2,
tbl_Data2[[#This Row],[Total_Amount_30D]]&lt;25000,5,
tbl_Data2[[#This Row],[Total_Amount_30D]]&lt;50000,7,
tbl_Data2[[#This Row],[Total_Amount_30D]]&gt;=50000,9
)</f>
        <v>9</v>
      </c>
      <c r="N20" cm="1">
        <f t="array" ref="N20">_xlfn.IFS(
tbl_Data2[[#This Row],[Amount_Deviation]]&lt;1.5,2,
tbl_Data2[[#This Row],[Amount_Deviation]]&lt;3,6,
tbl_Data2[[#This Row],[Amount_Deviation]]&lt;6,8,
tbl_Data2[[#This Row],[Amount_Deviation]]&gt;=6,10
)</f>
        <v>6</v>
      </c>
      <c r="O20">
        <f>ROUND(
    (tbl_Data2[[#This Row],[Geo_Score]]*0.2) +
    (tbl_Data2[[#This Row],[Velocity_Score]]*0.25) +
    (tbl_Data2[[#This Row],[Volume_Score]]*0.25) +
    (tbl_Data2[[#This Row],[Deviation_Score]]*0.3),
1
)</f>
        <v>7.5</v>
      </c>
      <c r="P20" t="str" cm="1">
        <f t="array" ref="P20">_xlfn.IFS(
tbl_Data2[[#This Row],[Final_Risk_Score]]&lt;5.5,"Low",
tbl_Data2[[#This Row],[Final_Risk_Score]]&lt;7.5,"Medium",
tbl_Data2[[#This Row],[Final_Risk_Score]]&gt;=7.5,"High"
)</f>
        <v>High</v>
      </c>
      <c r="Q20" t="str" cm="1">
        <f t="array" ref="Q20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21" spans="1:17" hidden="1">
      <c r="A21" t="str">
        <f>tbl_data[[#This Row],[Customer_ID]]</f>
        <v>CUST-020</v>
      </c>
      <c r="B21" t="str">
        <f>tbl_data[[#This Row],[Customer_Type]]</f>
        <v>Business</v>
      </c>
      <c r="C21" t="str">
        <f>tbl_data[[#This Row],[Country]]</f>
        <v>UAE</v>
      </c>
      <c r="D21" t="str">
        <f>tbl_data[[#This Row],[Industry]]</f>
        <v>Manufacturing</v>
      </c>
      <c r="E21">
        <f>tbl_data[[#This Row],[Tx_Count_30D]]</f>
        <v>28</v>
      </c>
      <c r="F21">
        <f>tbl_data[[#This Row],[Total_Amount_30D]]</f>
        <v>116911</v>
      </c>
      <c r="G21">
        <f>tbl_data[[#This Row],[Avg_Tx_Count_6M]]</f>
        <v>21</v>
      </c>
      <c r="H21">
        <f>tbl_data[[#This Row],[Avg_Total_Amount_6M]]</f>
        <v>36463</v>
      </c>
      <c r="I21">
        <f>IFERROR(tbl_Data2[[#This Row],[Tx_Count_30D]]/tbl_Data2[[#This Row],[Avg_Tx_Count_6M]],0)</f>
        <v>1.3333333333333333</v>
      </c>
      <c r="J21">
        <f>IFERROR(tbl_Data2[[#This Row],[Total_Amount_30D]]/tbl_Data2[[#This Row],[Avg_Total_Amount_6M]],0)</f>
        <v>3.2062913089981624</v>
      </c>
      <c r="K21">
        <f>_xlfn.XLOOKUP(tbl_Data2[[#This Row],[Country]], Geo_Map[Country], Geo_Map[Score], 5)</f>
        <v>6</v>
      </c>
      <c r="L21" cm="1">
        <f t="array" ref="L21">_xlfn.IFS(tbl_Data2[[#This Row],[Tx_Count_30D]]&lt;=5,2,tbl_Data2[[#This Row],[Tx_Count_30D]]&lt;=15,5,tbl_Data2[[#This Row],[Tx_Count_30D]]&lt;=30,7,tbl_Data2[[#This Row],[Tx_Count_30D]]&gt;30,9)</f>
        <v>7</v>
      </c>
      <c r="M21" cm="1">
        <f t="array" ref="M21">_xlfn.IFS(
tbl_Data2[[#This Row],[Total_Amount_30D]]&lt;10000,2,
tbl_Data2[[#This Row],[Total_Amount_30D]]&lt;25000,5,
tbl_Data2[[#This Row],[Total_Amount_30D]]&lt;50000,7,
tbl_Data2[[#This Row],[Total_Amount_30D]]&gt;=50000,9
)</f>
        <v>9</v>
      </c>
      <c r="N21" cm="1">
        <f t="array" ref="N21">_xlfn.IFS(
tbl_Data2[[#This Row],[Amount_Deviation]]&lt;1.5,2,
tbl_Data2[[#This Row],[Amount_Deviation]]&lt;3,6,
tbl_Data2[[#This Row],[Amount_Deviation]]&lt;6,8,
tbl_Data2[[#This Row],[Amount_Deviation]]&gt;=6,10
)</f>
        <v>8</v>
      </c>
      <c r="O21">
        <f>ROUND(
    (tbl_Data2[[#This Row],[Geo_Score]]*0.2) +
    (tbl_Data2[[#This Row],[Velocity_Score]]*0.25) +
    (tbl_Data2[[#This Row],[Volume_Score]]*0.25) +
    (tbl_Data2[[#This Row],[Deviation_Score]]*0.3),
1
)</f>
        <v>7.6</v>
      </c>
      <c r="P21" t="str" cm="1">
        <f t="array" ref="P21">_xlfn.IFS(
tbl_Data2[[#This Row],[Final_Risk_Score]]&lt;5.5,"Low",
tbl_Data2[[#This Row],[Final_Risk_Score]]&lt;7.5,"Medium",
tbl_Data2[[#This Row],[Final_Risk_Score]]&gt;=7.5,"High"
)</f>
        <v>High</v>
      </c>
      <c r="Q21" t="str" cm="1">
        <f t="array" ref="Q21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22" spans="1:17">
      <c r="A22" t="str">
        <f>tbl_data[[#This Row],[Customer_ID]]</f>
        <v>CUST-021</v>
      </c>
      <c r="B22" t="str">
        <f>tbl_data[[#This Row],[Customer_Type]]</f>
        <v>Business</v>
      </c>
      <c r="C22" t="str">
        <f>tbl_data[[#This Row],[Country]]</f>
        <v>Seychelles</v>
      </c>
      <c r="D22" t="str">
        <f>tbl_data[[#This Row],[Industry]]</f>
        <v>Manufacturing</v>
      </c>
      <c r="E22">
        <f>tbl_data[[#This Row],[Tx_Count_30D]]</f>
        <v>25</v>
      </c>
      <c r="F22">
        <f>tbl_data[[#This Row],[Total_Amount_30D]]</f>
        <v>47032</v>
      </c>
      <c r="G22">
        <f>tbl_data[[#This Row],[Avg_Tx_Count_6M]]</f>
        <v>6</v>
      </c>
      <c r="H22">
        <f>tbl_data[[#This Row],[Avg_Total_Amount_6M]]</f>
        <v>40954</v>
      </c>
      <c r="I22">
        <f>IFERROR(tbl_Data2[[#This Row],[Tx_Count_30D]]/tbl_Data2[[#This Row],[Avg_Tx_Count_6M]],0)</f>
        <v>4.166666666666667</v>
      </c>
      <c r="J22">
        <f>IFERROR(tbl_Data2[[#This Row],[Total_Amount_30D]]/tbl_Data2[[#This Row],[Avg_Total_Amount_6M]],0)</f>
        <v>1.1484104116813987</v>
      </c>
      <c r="K22">
        <f>_xlfn.XLOOKUP(tbl_Data2[[#This Row],[Country]], Geo_Map[Country], Geo_Map[Score], 5)</f>
        <v>9</v>
      </c>
      <c r="L22" cm="1">
        <f t="array" ref="L22">_xlfn.IFS(tbl_Data2[[#This Row],[Tx_Count_30D]]&lt;=5,2,tbl_Data2[[#This Row],[Tx_Count_30D]]&lt;=15,5,tbl_Data2[[#This Row],[Tx_Count_30D]]&lt;=30,7,tbl_Data2[[#This Row],[Tx_Count_30D]]&gt;30,9)</f>
        <v>7</v>
      </c>
      <c r="M22" cm="1">
        <f t="array" ref="M22">_xlfn.IFS(
tbl_Data2[[#This Row],[Total_Amount_30D]]&lt;10000,2,
tbl_Data2[[#This Row],[Total_Amount_30D]]&lt;25000,5,
tbl_Data2[[#This Row],[Total_Amount_30D]]&lt;50000,7,
tbl_Data2[[#This Row],[Total_Amount_30D]]&gt;=50000,9
)</f>
        <v>7</v>
      </c>
      <c r="N22" cm="1">
        <f t="array" ref="N22">_xlfn.IFS(
tbl_Data2[[#This Row],[Amount_Deviation]]&lt;1.5,2,
tbl_Data2[[#This Row],[Amount_Deviation]]&lt;3,6,
tbl_Data2[[#This Row],[Amount_Deviation]]&lt;6,8,
tbl_Data2[[#This Row],[Amount_Deviation]]&gt;=6,10
)</f>
        <v>2</v>
      </c>
      <c r="O22">
        <f>ROUND(
    (tbl_Data2[[#This Row],[Geo_Score]]*0.2) +
    (tbl_Data2[[#This Row],[Velocity_Score]]*0.25) +
    (tbl_Data2[[#This Row],[Volume_Score]]*0.25) +
    (tbl_Data2[[#This Row],[Deviation_Score]]*0.3),
1
)</f>
        <v>5.9</v>
      </c>
      <c r="P22" t="str" cm="1">
        <f t="array" ref="P22">_xlfn.IFS(
tbl_Data2[[#This Row],[Final_Risk_Score]]&lt;5.5,"Low",
tbl_Data2[[#This Row],[Final_Risk_Score]]&lt;7.5,"Medium",
tbl_Data2[[#This Row],[Final_Risk_Score]]&gt;=7.5,"High"
)</f>
        <v>Medium</v>
      </c>
      <c r="Q22" t="str" cm="1">
        <f t="array" ref="Q22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3" spans="1:17">
      <c r="A23" t="str">
        <f>tbl_data[[#This Row],[Customer_ID]]</f>
        <v>CUST-022</v>
      </c>
      <c r="B23" t="str">
        <f>tbl_data[[#This Row],[Customer_Type]]</f>
        <v>Business</v>
      </c>
      <c r="C23" t="str">
        <f>tbl_data[[#This Row],[Country]]</f>
        <v>UAE</v>
      </c>
      <c r="D23" t="str">
        <f>tbl_data[[#This Row],[Industry]]</f>
        <v>Manufacturing</v>
      </c>
      <c r="E23">
        <f>tbl_data[[#This Row],[Tx_Count_30D]]</f>
        <v>41</v>
      </c>
      <c r="F23">
        <f>tbl_data[[#This Row],[Total_Amount_30D]]</f>
        <v>28247</v>
      </c>
      <c r="G23">
        <f>tbl_data[[#This Row],[Avg_Tx_Count_6M]]</f>
        <v>16</v>
      </c>
      <c r="H23">
        <f>tbl_data[[#This Row],[Avg_Total_Amount_6M]]</f>
        <v>13723</v>
      </c>
      <c r="I23">
        <f>IFERROR(tbl_Data2[[#This Row],[Tx_Count_30D]]/tbl_Data2[[#This Row],[Avg_Tx_Count_6M]],0)</f>
        <v>2.5625</v>
      </c>
      <c r="J23">
        <f>IFERROR(tbl_Data2[[#This Row],[Total_Amount_30D]]/tbl_Data2[[#This Row],[Avg_Total_Amount_6M]],0)</f>
        <v>2.0583691612621147</v>
      </c>
      <c r="K23">
        <f>_xlfn.XLOOKUP(tbl_Data2[[#This Row],[Country]], Geo_Map[Country], Geo_Map[Score], 5)</f>
        <v>6</v>
      </c>
      <c r="L23" cm="1">
        <f t="array" ref="L23">_xlfn.IFS(tbl_Data2[[#This Row],[Tx_Count_30D]]&lt;=5,2,tbl_Data2[[#This Row],[Tx_Count_30D]]&lt;=15,5,tbl_Data2[[#This Row],[Tx_Count_30D]]&lt;=30,7,tbl_Data2[[#This Row],[Tx_Count_30D]]&gt;30,9)</f>
        <v>9</v>
      </c>
      <c r="M23" cm="1">
        <f t="array" ref="M23">_xlfn.IFS(
tbl_Data2[[#This Row],[Total_Amount_30D]]&lt;10000,2,
tbl_Data2[[#This Row],[Total_Amount_30D]]&lt;25000,5,
tbl_Data2[[#This Row],[Total_Amount_30D]]&lt;50000,7,
tbl_Data2[[#This Row],[Total_Amount_30D]]&gt;=50000,9
)</f>
        <v>7</v>
      </c>
      <c r="N23" cm="1">
        <f t="array" ref="N23">_xlfn.IFS(
tbl_Data2[[#This Row],[Amount_Deviation]]&lt;1.5,2,
tbl_Data2[[#This Row],[Amount_Deviation]]&lt;3,6,
tbl_Data2[[#This Row],[Amount_Deviation]]&lt;6,8,
tbl_Data2[[#This Row],[Amount_Deviation]]&gt;=6,10
)</f>
        <v>6</v>
      </c>
      <c r="O23">
        <f>ROUND(
    (tbl_Data2[[#This Row],[Geo_Score]]*0.2) +
    (tbl_Data2[[#This Row],[Velocity_Score]]*0.25) +
    (tbl_Data2[[#This Row],[Volume_Score]]*0.25) +
    (tbl_Data2[[#This Row],[Deviation_Score]]*0.3),
1
)</f>
        <v>7</v>
      </c>
      <c r="P23" t="str" cm="1">
        <f t="array" ref="P23">_xlfn.IFS(
tbl_Data2[[#This Row],[Final_Risk_Score]]&lt;5.5,"Low",
tbl_Data2[[#This Row],[Final_Risk_Score]]&lt;7.5,"Medium",
tbl_Data2[[#This Row],[Final_Risk_Score]]&gt;=7.5,"High"
)</f>
        <v>Medium</v>
      </c>
      <c r="Q23" t="str" cm="1">
        <f t="array" ref="Q23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4" spans="1:17">
      <c r="A24" t="str">
        <f>tbl_data[[#This Row],[Customer_ID]]</f>
        <v>CUST-023</v>
      </c>
      <c r="B24" t="str">
        <f>tbl_data[[#This Row],[Customer_Type]]</f>
        <v>Business</v>
      </c>
      <c r="C24" t="str">
        <f>tbl_data[[#This Row],[Country]]</f>
        <v>BVI</v>
      </c>
      <c r="D24" t="str">
        <f>tbl_data[[#This Row],[Industry]]</f>
        <v>Consulting</v>
      </c>
      <c r="E24">
        <f>tbl_data[[#This Row],[Tx_Count_30D]]</f>
        <v>19</v>
      </c>
      <c r="F24">
        <f>tbl_data[[#This Row],[Total_Amount_30D]]</f>
        <v>7715</v>
      </c>
      <c r="G24">
        <f>tbl_data[[#This Row],[Avg_Tx_Count_6M]]</f>
        <v>10</v>
      </c>
      <c r="H24">
        <f>tbl_data[[#This Row],[Avg_Total_Amount_6M]]</f>
        <v>3066</v>
      </c>
      <c r="I24">
        <f>IFERROR(tbl_Data2[[#This Row],[Tx_Count_30D]]/tbl_Data2[[#This Row],[Avg_Tx_Count_6M]],0)</f>
        <v>1.9</v>
      </c>
      <c r="J24">
        <f>IFERROR(tbl_Data2[[#This Row],[Total_Amount_30D]]/tbl_Data2[[#This Row],[Avg_Total_Amount_6M]],0)</f>
        <v>2.5163078930202216</v>
      </c>
      <c r="K24">
        <f>_xlfn.XLOOKUP(tbl_Data2[[#This Row],[Country]], Geo_Map[Country], Geo_Map[Score], 5)</f>
        <v>9</v>
      </c>
      <c r="L24" cm="1">
        <f t="array" ref="L24">_xlfn.IFS(tbl_Data2[[#This Row],[Tx_Count_30D]]&lt;=5,2,tbl_Data2[[#This Row],[Tx_Count_30D]]&lt;=15,5,tbl_Data2[[#This Row],[Tx_Count_30D]]&lt;=30,7,tbl_Data2[[#This Row],[Tx_Count_30D]]&gt;30,9)</f>
        <v>7</v>
      </c>
      <c r="M24" cm="1">
        <f t="array" ref="M24">_xlfn.IFS(
tbl_Data2[[#This Row],[Total_Amount_30D]]&lt;10000,2,
tbl_Data2[[#This Row],[Total_Amount_30D]]&lt;25000,5,
tbl_Data2[[#This Row],[Total_Amount_30D]]&lt;50000,7,
tbl_Data2[[#This Row],[Total_Amount_30D]]&gt;=50000,9
)</f>
        <v>2</v>
      </c>
      <c r="N24" cm="1">
        <f t="array" ref="N24">_xlfn.IFS(
tbl_Data2[[#This Row],[Amount_Deviation]]&lt;1.5,2,
tbl_Data2[[#This Row],[Amount_Deviation]]&lt;3,6,
tbl_Data2[[#This Row],[Amount_Deviation]]&lt;6,8,
tbl_Data2[[#This Row],[Amount_Deviation]]&gt;=6,10
)</f>
        <v>6</v>
      </c>
      <c r="O24">
        <f>ROUND(
    (tbl_Data2[[#This Row],[Geo_Score]]*0.2) +
    (tbl_Data2[[#This Row],[Velocity_Score]]*0.25) +
    (tbl_Data2[[#This Row],[Volume_Score]]*0.25) +
    (tbl_Data2[[#This Row],[Deviation_Score]]*0.3),
1
)</f>
        <v>5.9</v>
      </c>
      <c r="P24" t="str" cm="1">
        <f t="array" ref="P24">_xlfn.IFS(
tbl_Data2[[#This Row],[Final_Risk_Score]]&lt;5.5,"Low",
tbl_Data2[[#This Row],[Final_Risk_Score]]&lt;7.5,"Medium",
tbl_Data2[[#This Row],[Final_Risk_Score]]&gt;=7.5,"High"
)</f>
        <v>Medium</v>
      </c>
      <c r="Q24" t="str" cm="1">
        <f t="array" ref="Q24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5" spans="1:17" hidden="1">
      <c r="A25" t="str">
        <f>tbl_data[[#This Row],[Customer_ID]]</f>
        <v>CUST-024</v>
      </c>
      <c r="B25" t="str">
        <f>tbl_data[[#This Row],[Customer_Type]]</f>
        <v>Business</v>
      </c>
      <c r="C25" t="str">
        <f>tbl_data[[#This Row],[Country]]</f>
        <v>BVI</v>
      </c>
      <c r="D25" t="str">
        <f>tbl_data[[#This Row],[Industry]]</f>
        <v>Manufacturing</v>
      </c>
      <c r="E25">
        <f>tbl_data[[#This Row],[Tx_Count_30D]]</f>
        <v>21</v>
      </c>
      <c r="F25">
        <f>tbl_data[[#This Row],[Total_Amount_30D]]</f>
        <v>106000</v>
      </c>
      <c r="G25">
        <f>tbl_data[[#This Row],[Avg_Tx_Count_6M]]</f>
        <v>33</v>
      </c>
      <c r="H25">
        <f>tbl_data[[#This Row],[Avg_Total_Amount_6M]]</f>
        <v>44539</v>
      </c>
      <c r="I25">
        <f>IFERROR(tbl_Data2[[#This Row],[Tx_Count_30D]]/tbl_Data2[[#This Row],[Avg_Tx_Count_6M]],0)</f>
        <v>0.63636363636363635</v>
      </c>
      <c r="J25">
        <f>IFERROR(tbl_Data2[[#This Row],[Total_Amount_30D]]/tbl_Data2[[#This Row],[Avg_Total_Amount_6M]],0)</f>
        <v>2.3799366847032939</v>
      </c>
      <c r="K25">
        <f>_xlfn.XLOOKUP(tbl_Data2[[#This Row],[Country]], Geo_Map[Country], Geo_Map[Score], 5)</f>
        <v>9</v>
      </c>
      <c r="L25" cm="1">
        <f t="array" ref="L25">_xlfn.IFS(tbl_Data2[[#This Row],[Tx_Count_30D]]&lt;=5,2,tbl_Data2[[#This Row],[Tx_Count_30D]]&lt;=15,5,tbl_Data2[[#This Row],[Tx_Count_30D]]&lt;=30,7,tbl_Data2[[#This Row],[Tx_Count_30D]]&gt;30,9)</f>
        <v>7</v>
      </c>
      <c r="M25" cm="1">
        <f t="array" ref="M25">_xlfn.IFS(
tbl_Data2[[#This Row],[Total_Amount_30D]]&lt;10000,2,
tbl_Data2[[#This Row],[Total_Amount_30D]]&lt;25000,5,
tbl_Data2[[#This Row],[Total_Amount_30D]]&lt;50000,7,
tbl_Data2[[#This Row],[Total_Amount_30D]]&gt;=50000,9
)</f>
        <v>9</v>
      </c>
      <c r="N25" cm="1">
        <f t="array" ref="N25">_xlfn.IFS(
tbl_Data2[[#This Row],[Amount_Deviation]]&lt;1.5,2,
tbl_Data2[[#This Row],[Amount_Deviation]]&lt;3,6,
tbl_Data2[[#This Row],[Amount_Deviation]]&lt;6,8,
tbl_Data2[[#This Row],[Amount_Deviation]]&gt;=6,10
)</f>
        <v>6</v>
      </c>
      <c r="O25">
        <f>ROUND(
    (tbl_Data2[[#This Row],[Geo_Score]]*0.2) +
    (tbl_Data2[[#This Row],[Velocity_Score]]*0.25) +
    (tbl_Data2[[#This Row],[Volume_Score]]*0.25) +
    (tbl_Data2[[#This Row],[Deviation_Score]]*0.3),
1
)</f>
        <v>7.6</v>
      </c>
      <c r="P25" t="str" cm="1">
        <f t="array" ref="P25">_xlfn.IFS(
tbl_Data2[[#This Row],[Final_Risk_Score]]&lt;5.5,"Low",
tbl_Data2[[#This Row],[Final_Risk_Score]]&lt;7.5,"Medium",
tbl_Data2[[#This Row],[Final_Risk_Score]]&gt;=7.5,"High"
)</f>
        <v>High</v>
      </c>
      <c r="Q25" t="str" cm="1">
        <f t="array" ref="Q25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26" spans="1:17">
      <c r="A26" t="str">
        <f>tbl_data[[#This Row],[Customer_ID]]</f>
        <v>CUST-025</v>
      </c>
      <c r="B26" t="str">
        <f>tbl_data[[#This Row],[Customer_Type]]</f>
        <v>Individual</v>
      </c>
      <c r="C26" t="str">
        <f>tbl_data[[#This Row],[Country]]</f>
        <v>Cyprus</v>
      </c>
      <c r="D26" t="str">
        <f>tbl_data[[#This Row],[Industry]]</f>
        <v>Logistics</v>
      </c>
      <c r="E26">
        <f>tbl_data[[#This Row],[Tx_Count_30D]]</f>
        <v>48</v>
      </c>
      <c r="F26">
        <f>tbl_data[[#This Row],[Total_Amount_30D]]</f>
        <v>54742</v>
      </c>
      <c r="G26">
        <f>tbl_data[[#This Row],[Avg_Tx_Count_6M]]</f>
        <v>29</v>
      </c>
      <c r="H26">
        <f>tbl_data[[#This Row],[Avg_Total_Amount_6M]]</f>
        <v>36977</v>
      </c>
      <c r="I26">
        <f>IFERROR(tbl_Data2[[#This Row],[Tx_Count_30D]]/tbl_Data2[[#This Row],[Avg_Tx_Count_6M]],0)</f>
        <v>1.6551724137931034</v>
      </c>
      <c r="J26">
        <f>IFERROR(tbl_Data2[[#This Row],[Total_Amount_30D]]/tbl_Data2[[#This Row],[Avg_Total_Amount_6M]],0)</f>
        <v>1.4804337831625065</v>
      </c>
      <c r="K26">
        <f>_xlfn.XLOOKUP(tbl_Data2[[#This Row],[Country]], Geo_Map[Country], Geo_Map[Score], 5)</f>
        <v>7</v>
      </c>
      <c r="L26" cm="1">
        <f t="array" ref="L26">_xlfn.IFS(tbl_Data2[[#This Row],[Tx_Count_30D]]&lt;=5,2,tbl_Data2[[#This Row],[Tx_Count_30D]]&lt;=15,5,tbl_Data2[[#This Row],[Tx_Count_30D]]&lt;=30,7,tbl_Data2[[#This Row],[Tx_Count_30D]]&gt;30,9)</f>
        <v>9</v>
      </c>
      <c r="M26" cm="1">
        <f t="array" ref="M26">_xlfn.IFS(
tbl_Data2[[#This Row],[Total_Amount_30D]]&lt;10000,2,
tbl_Data2[[#This Row],[Total_Amount_30D]]&lt;25000,5,
tbl_Data2[[#This Row],[Total_Amount_30D]]&lt;50000,7,
tbl_Data2[[#This Row],[Total_Amount_30D]]&gt;=50000,9
)</f>
        <v>9</v>
      </c>
      <c r="N26" cm="1">
        <f t="array" ref="N26">_xlfn.IFS(
tbl_Data2[[#This Row],[Amount_Deviation]]&lt;1.5,2,
tbl_Data2[[#This Row],[Amount_Deviation]]&lt;3,6,
tbl_Data2[[#This Row],[Amount_Deviation]]&lt;6,8,
tbl_Data2[[#This Row],[Amount_Deviation]]&gt;=6,10
)</f>
        <v>2</v>
      </c>
      <c r="O26">
        <f>ROUND(
    (tbl_Data2[[#This Row],[Geo_Score]]*0.2) +
    (tbl_Data2[[#This Row],[Velocity_Score]]*0.25) +
    (tbl_Data2[[#This Row],[Volume_Score]]*0.25) +
    (tbl_Data2[[#This Row],[Deviation_Score]]*0.3),
1
)</f>
        <v>6.5</v>
      </c>
      <c r="P26" t="str" cm="1">
        <f t="array" ref="P26">_xlfn.IFS(
tbl_Data2[[#This Row],[Final_Risk_Score]]&lt;5.5,"Low",
tbl_Data2[[#This Row],[Final_Risk_Score]]&lt;7.5,"Medium",
tbl_Data2[[#This Row],[Final_Risk_Score]]&gt;=7.5,"High"
)</f>
        <v>Medium</v>
      </c>
      <c r="Q26" t="str" cm="1">
        <f t="array" ref="Q26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7" spans="1:17">
      <c r="A27" t="str">
        <f>tbl_data[[#This Row],[Customer_ID]]</f>
        <v>CUST-026</v>
      </c>
      <c r="B27" t="str">
        <f>tbl_data[[#This Row],[Customer_Type]]</f>
        <v>Individual</v>
      </c>
      <c r="C27" t="str">
        <f>tbl_data[[#This Row],[Country]]</f>
        <v>Panama</v>
      </c>
      <c r="D27" t="str">
        <f>tbl_data[[#This Row],[Industry]]</f>
        <v>Logistics</v>
      </c>
      <c r="E27">
        <f>tbl_data[[#This Row],[Tx_Count_30D]]</f>
        <v>6</v>
      </c>
      <c r="F27">
        <f>tbl_data[[#This Row],[Total_Amount_30D]]</f>
        <v>27692</v>
      </c>
      <c r="G27">
        <f>tbl_data[[#This Row],[Avg_Tx_Count_6M]]</f>
        <v>2</v>
      </c>
      <c r="H27">
        <f>tbl_data[[#This Row],[Avg_Total_Amount_6M]]</f>
        <v>13855</v>
      </c>
      <c r="I27">
        <f>IFERROR(tbl_Data2[[#This Row],[Tx_Count_30D]]/tbl_Data2[[#This Row],[Avg_Tx_Count_6M]],0)</f>
        <v>3</v>
      </c>
      <c r="J27">
        <f>IFERROR(tbl_Data2[[#This Row],[Total_Amount_30D]]/tbl_Data2[[#This Row],[Avg_Total_Amount_6M]],0)</f>
        <v>1.9987008300252616</v>
      </c>
      <c r="K27">
        <f>_xlfn.XLOOKUP(tbl_Data2[[#This Row],[Country]], Geo_Map[Country], Geo_Map[Score], 5)</f>
        <v>8</v>
      </c>
      <c r="L27" cm="1">
        <f t="array" ref="L27">_xlfn.IFS(tbl_Data2[[#This Row],[Tx_Count_30D]]&lt;=5,2,tbl_Data2[[#This Row],[Tx_Count_30D]]&lt;=15,5,tbl_Data2[[#This Row],[Tx_Count_30D]]&lt;=30,7,tbl_Data2[[#This Row],[Tx_Count_30D]]&gt;30,9)</f>
        <v>5</v>
      </c>
      <c r="M27" cm="1">
        <f t="array" ref="M27">_xlfn.IFS(
tbl_Data2[[#This Row],[Total_Amount_30D]]&lt;10000,2,
tbl_Data2[[#This Row],[Total_Amount_30D]]&lt;25000,5,
tbl_Data2[[#This Row],[Total_Amount_30D]]&lt;50000,7,
tbl_Data2[[#This Row],[Total_Amount_30D]]&gt;=50000,9
)</f>
        <v>7</v>
      </c>
      <c r="N27" cm="1">
        <f t="array" ref="N27">_xlfn.IFS(
tbl_Data2[[#This Row],[Amount_Deviation]]&lt;1.5,2,
tbl_Data2[[#This Row],[Amount_Deviation]]&lt;3,6,
tbl_Data2[[#This Row],[Amount_Deviation]]&lt;6,8,
tbl_Data2[[#This Row],[Amount_Deviation]]&gt;=6,10
)</f>
        <v>6</v>
      </c>
      <c r="O27">
        <f>ROUND(
    (tbl_Data2[[#This Row],[Geo_Score]]*0.2) +
    (tbl_Data2[[#This Row],[Velocity_Score]]*0.25) +
    (tbl_Data2[[#This Row],[Volume_Score]]*0.25) +
    (tbl_Data2[[#This Row],[Deviation_Score]]*0.3),
1
)</f>
        <v>6.4</v>
      </c>
      <c r="P27" t="str" cm="1">
        <f t="array" ref="P27">_xlfn.IFS(
tbl_Data2[[#This Row],[Final_Risk_Score]]&lt;5.5,"Low",
tbl_Data2[[#This Row],[Final_Risk_Score]]&lt;7.5,"Medium",
tbl_Data2[[#This Row],[Final_Risk_Score]]&gt;=7.5,"High"
)</f>
        <v>Medium</v>
      </c>
      <c r="Q27" t="str" cm="1">
        <f t="array" ref="Q27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8" spans="1:17">
      <c r="A28" t="str">
        <f>tbl_data[[#This Row],[Customer_ID]]</f>
        <v>CUST-027</v>
      </c>
      <c r="B28" t="str">
        <f>tbl_data[[#This Row],[Customer_Type]]</f>
        <v>Individual</v>
      </c>
      <c r="C28" t="str">
        <f>tbl_data[[#This Row],[Country]]</f>
        <v>Cyprus</v>
      </c>
      <c r="D28" t="str">
        <f>tbl_data[[#This Row],[Industry]]</f>
        <v>Trading</v>
      </c>
      <c r="E28">
        <f>tbl_data[[#This Row],[Tx_Count_30D]]</f>
        <v>22</v>
      </c>
      <c r="F28">
        <f>tbl_data[[#This Row],[Total_Amount_30D]]</f>
        <v>63575</v>
      </c>
      <c r="G28">
        <f>tbl_data[[#This Row],[Avg_Tx_Count_6M]]</f>
        <v>16</v>
      </c>
      <c r="H28">
        <f>tbl_data[[#This Row],[Avg_Total_Amount_6M]]</f>
        <v>44177</v>
      </c>
      <c r="I28">
        <f>IFERROR(tbl_Data2[[#This Row],[Tx_Count_30D]]/tbl_Data2[[#This Row],[Avg_Tx_Count_6M]],0)</f>
        <v>1.375</v>
      </c>
      <c r="J28">
        <f>IFERROR(tbl_Data2[[#This Row],[Total_Amount_30D]]/tbl_Data2[[#This Row],[Avg_Total_Amount_6M]],0)</f>
        <v>1.439097267809041</v>
      </c>
      <c r="K28">
        <f>_xlfn.XLOOKUP(tbl_Data2[[#This Row],[Country]], Geo_Map[Country], Geo_Map[Score], 5)</f>
        <v>7</v>
      </c>
      <c r="L28" cm="1">
        <f t="array" ref="L28">_xlfn.IFS(tbl_Data2[[#This Row],[Tx_Count_30D]]&lt;=5,2,tbl_Data2[[#This Row],[Tx_Count_30D]]&lt;=15,5,tbl_Data2[[#This Row],[Tx_Count_30D]]&lt;=30,7,tbl_Data2[[#This Row],[Tx_Count_30D]]&gt;30,9)</f>
        <v>7</v>
      </c>
      <c r="M28" cm="1">
        <f t="array" ref="M28">_xlfn.IFS(
tbl_Data2[[#This Row],[Total_Amount_30D]]&lt;10000,2,
tbl_Data2[[#This Row],[Total_Amount_30D]]&lt;25000,5,
tbl_Data2[[#This Row],[Total_Amount_30D]]&lt;50000,7,
tbl_Data2[[#This Row],[Total_Amount_30D]]&gt;=50000,9
)</f>
        <v>9</v>
      </c>
      <c r="N28" cm="1">
        <f t="array" ref="N28">_xlfn.IFS(
tbl_Data2[[#This Row],[Amount_Deviation]]&lt;1.5,2,
tbl_Data2[[#This Row],[Amount_Deviation]]&lt;3,6,
tbl_Data2[[#This Row],[Amount_Deviation]]&lt;6,8,
tbl_Data2[[#This Row],[Amount_Deviation]]&gt;=6,10
)</f>
        <v>2</v>
      </c>
      <c r="O28">
        <f>ROUND(
    (tbl_Data2[[#This Row],[Geo_Score]]*0.2) +
    (tbl_Data2[[#This Row],[Velocity_Score]]*0.25) +
    (tbl_Data2[[#This Row],[Volume_Score]]*0.25) +
    (tbl_Data2[[#This Row],[Deviation_Score]]*0.3),
1
)</f>
        <v>6</v>
      </c>
      <c r="P28" t="str" cm="1">
        <f t="array" ref="P28">_xlfn.IFS(
tbl_Data2[[#This Row],[Final_Risk_Score]]&lt;5.5,"Low",
tbl_Data2[[#This Row],[Final_Risk_Score]]&lt;7.5,"Medium",
tbl_Data2[[#This Row],[Final_Risk_Score]]&gt;=7.5,"High"
)</f>
        <v>Medium</v>
      </c>
      <c r="Q28" t="str" cm="1">
        <f t="array" ref="Q28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9" spans="1:17" hidden="1">
      <c r="A29" t="str">
        <f>tbl_data[[#This Row],[Customer_ID]]</f>
        <v>CUST-028</v>
      </c>
      <c r="B29" t="str">
        <f>tbl_data[[#This Row],[Customer_Type]]</f>
        <v>Business</v>
      </c>
      <c r="C29" t="str">
        <f>tbl_data[[#This Row],[Country]]</f>
        <v>BVI</v>
      </c>
      <c r="D29" t="str">
        <f>tbl_data[[#This Row],[Industry]]</f>
        <v>IT Services</v>
      </c>
      <c r="E29">
        <f>tbl_data[[#This Row],[Tx_Count_30D]]</f>
        <v>41</v>
      </c>
      <c r="F29">
        <f>tbl_data[[#This Row],[Total_Amount_30D]]</f>
        <v>105019</v>
      </c>
      <c r="G29">
        <f>tbl_data[[#This Row],[Avg_Tx_Count_6M]]</f>
        <v>39</v>
      </c>
      <c r="H29">
        <f>tbl_data[[#This Row],[Avg_Total_Amount_6M]]</f>
        <v>22113</v>
      </c>
      <c r="I29">
        <f>IFERROR(tbl_Data2[[#This Row],[Tx_Count_30D]]/tbl_Data2[[#This Row],[Avg_Tx_Count_6M]],0)</f>
        <v>1.0512820512820513</v>
      </c>
      <c r="J29">
        <f>IFERROR(tbl_Data2[[#This Row],[Total_Amount_30D]]/tbl_Data2[[#This Row],[Avg_Total_Amount_6M]],0)</f>
        <v>4.7491973047528599</v>
      </c>
      <c r="K29">
        <f>_xlfn.XLOOKUP(tbl_Data2[[#This Row],[Country]], Geo_Map[Country], Geo_Map[Score], 5)</f>
        <v>9</v>
      </c>
      <c r="L29" cm="1">
        <f t="array" ref="L29">_xlfn.IFS(tbl_Data2[[#This Row],[Tx_Count_30D]]&lt;=5,2,tbl_Data2[[#This Row],[Tx_Count_30D]]&lt;=15,5,tbl_Data2[[#This Row],[Tx_Count_30D]]&lt;=30,7,tbl_Data2[[#This Row],[Tx_Count_30D]]&gt;30,9)</f>
        <v>9</v>
      </c>
      <c r="M29" cm="1">
        <f t="array" ref="M29">_xlfn.IFS(
tbl_Data2[[#This Row],[Total_Amount_30D]]&lt;10000,2,
tbl_Data2[[#This Row],[Total_Amount_30D]]&lt;25000,5,
tbl_Data2[[#This Row],[Total_Amount_30D]]&lt;50000,7,
tbl_Data2[[#This Row],[Total_Amount_30D]]&gt;=50000,9
)</f>
        <v>9</v>
      </c>
      <c r="N29" cm="1">
        <f t="array" ref="N29">_xlfn.IFS(
tbl_Data2[[#This Row],[Amount_Deviation]]&lt;1.5,2,
tbl_Data2[[#This Row],[Amount_Deviation]]&lt;3,6,
tbl_Data2[[#This Row],[Amount_Deviation]]&lt;6,8,
tbl_Data2[[#This Row],[Amount_Deviation]]&gt;=6,10
)</f>
        <v>8</v>
      </c>
      <c r="O29">
        <f>ROUND(
    (tbl_Data2[[#This Row],[Geo_Score]]*0.2) +
    (tbl_Data2[[#This Row],[Velocity_Score]]*0.25) +
    (tbl_Data2[[#This Row],[Volume_Score]]*0.25) +
    (tbl_Data2[[#This Row],[Deviation_Score]]*0.3),
1
)</f>
        <v>8.6999999999999993</v>
      </c>
      <c r="P29" t="str" cm="1">
        <f t="array" ref="P29">_xlfn.IFS(
tbl_Data2[[#This Row],[Final_Risk_Score]]&lt;5.5,"Low",
tbl_Data2[[#This Row],[Final_Risk_Score]]&lt;7.5,"Medium",
tbl_Data2[[#This Row],[Final_Risk_Score]]&gt;=7.5,"High"
)</f>
        <v>High</v>
      </c>
      <c r="Q29" t="str" cm="1">
        <f t="array" ref="Q29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30" spans="1:17">
      <c r="A30" t="str">
        <f>tbl_data[[#This Row],[Customer_ID]]</f>
        <v>CUST-029</v>
      </c>
      <c r="B30" t="str">
        <f>tbl_data[[#This Row],[Customer_Type]]</f>
        <v>Business</v>
      </c>
      <c r="C30" t="str">
        <f>tbl_data[[#This Row],[Country]]</f>
        <v>Hong Kong</v>
      </c>
      <c r="D30" t="str">
        <f>tbl_data[[#This Row],[Industry]]</f>
        <v>Import/Export</v>
      </c>
      <c r="E30">
        <f>tbl_data[[#This Row],[Tx_Count_30D]]</f>
        <v>22</v>
      </c>
      <c r="F30">
        <f>tbl_data[[#This Row],[Total_Amount_30D]]</f>
        <v>94961</v>
      </c>
      <c r="G30">
        <f>tbl_data[[#This Row],[Avg_Tx_Count_6M]]</f>
        <v>7</v>
      </c>
      <c r="H30">
        <f>tbl_data[[#This Row],[Avg_Total_Amount_6M]]</f>
        <v>53965</v>
      </c>
      <c r="I30">
        <f>IFERROR(tbl_Data2[[#This Row],[Tx_Count_30D]]/tbl_Data2[[#This Row],[Avg_Tx_Count_6M]],0)</f>
        <v>3.1428571428571428</v>
      </c>
      <c r="J30">
        <f>IFERROR(tbl_Data2[[#This Row],[Total_Amount_30D]]/tbl_Data2[[#This Row],[Avg_Total_Amount_6M]],0)</f>
        <v>1.7596775687945891</v>
      </c>
      <c r="K30">
        <f>_xlfn.XLOOKUP(tbl_Data2[[#This Row],[Country]], Geo_Map[Country], Geo_Map[Score], 5)</f>
        <v>6</v>
      </c>
      <c r="L30" cm="1">
        <f t="array" ref="L30">_xlfn.IFS(tbl_Data2[[#This Row],[Tx_Count_30D]]&lt;=5,2,tbl_Data2[[#This Row],[Tx_Count_30D]]&lt;=15,5,tbl_Data2[[#This Row],[Tx_Count_30D]]&lt;=30,7,tbl_Data2[[#This Row],[Tx_Count_30D]]&gt;30,9)</f>
        <v>7</v>
      </c>
      <c r="M30" cm="1">
        <f t="array" ref="M30">_xlfn.IFS(
tbl_Data2[[#This Row],[Total_Amount_30D]]&lt;10000,2,
tbl_Data2[[#This Row],[Total_Amount_30D]]&lt;25000,5,
tbl_Data2[[#This Row],[Total_Amount_30D]]&lt;50000,7,
tbl_Data2[[#This Row],[Total_Amount_30D]]&gt;=50000,9
)</f>
        <v>9</v>
      </c>
      <c r="N30" cm="1">
        <f t="array" ref="N30">_xlfn.IFS(
tbl_Data2[[#This Row],[Amount_Deviation]]&lt;1.5,2,
tbl_Data2[[#This Row],[Amount_Deviation]]&lt;3,6,
tbl_Data2[[#This Row],[Amount_Deviation]]&lt;6,8,
tbl_Data2[[#This Row],[Amount_Deviation]]&gt;=6,10
)</f>
        <v>6</v>
      </c>
      <c r="O30">
        <f>ROUND(
    (tbl_Data2[[#This Row],[Geo_Score]]*0.2) +
    (tbl_Data2[[#This Row],[Velocity_Score]]*0.25) +
    (tbl_Data2[[#This Row],[Volume_Score]]*0.25) +
    (tbl_Data2[[#This Row],[Deviation_Score]]*0.3),
1
)</f>
        <v>7</v>
      </c>
      <c r="P30" t="str" cm="1">
        <f t="array" ref="P30">_xlfn.IFS(
tbl_Data2[[#This Row],[Final_Risk_Score]]&lt;5.5,"Low",
tbl_Data2[[#This Row],[Final_Risk_Score]]&lt;7.5,"Medium",
tbl_Data2[[#This Row],[Final_Risk_Score]]&gt;=7.5,"High"
)</f>
        <v>Medium</v>
      </c>
      <c r="Q30" t="str" cm="1">
        <f t="array" ref="Q30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31" spans="1:17">
      <c r="A31" t="str">
        <f>tbl_data[[#This Row],[Customer_ID]]</f>
        <v>CUST-030</v>
      </c>
      <c r="B31" t="str">
        <f>tbl_data[[#This Row],[Customer_Type]]</f>
        <v>Business</v>
      </c>
      <c r="C31" t="str">
        <f>tbl_data[[#This Row],[Country]]</f>
        <v>BVI</v>
      </c>
      <c r="D31" t="str">
        <f>tbl_data[[#This Row],[Industry]]</f>
        <v>Logistics</v>
      </c>
      <c r="E31">
        <f>tbl_data[[#This Row],[Tx_Count_30D]]</f>
        <v>8</v>
      </c>
      <c r="F31">
        <f>tbl_data[[#This Row],[Total_Amount_30D]]</f>
        <v>15648</v>
      </c>
      <c r="G31">
        <f>tbl_data[[#This Row],[Avg_Tx_Count_6M]]</f>
        <v>3</v>
      </c>
      <c r="H31">
        <f>tbl_data[[#This Row],[Avg_Total_Amount_6M]]</f>
        <v>6270</v>
      </c>
      <c r="I31">
        <f>IFERROR(tbl_Data2[[#This Row],[Tx_Count_30D]]/tbl_Data2[[#This Row],[Avg_Tx_Count_6M]],0)</f>
        <v>2.6666666666666665</v>
      </c>
      <c r="J31">
        <f>IFERROR(tbl_Data2[[#This Row],[Total_Amount_30D]]/tbl_Data2[[#This Row],[Avg_Total_Amount_6M]],0)</f>
        <v>2.4956937799043062</v>
      </c>
      <c r="K31">
        <f>_xlfn.XLOOKUP(tbl_Data2[[#This Row],[Country]], Geo_Map[Country], Geo_Map[Score], 5)</f>
        <v>9</v>
      </c>
      <c r="L31" cm="1">
        <f t="array" ref="L31">_xlfn.IFS(tbl_Data2[[#This Row],[Tx_Count_30D]]&lt;=5,2,tbl_Data2[[#This Row],[Tx_Count_30D]]&lt;=15,5,tbl_Data2[[#This Row],[Tx_Count_30D]]&lt;=30,7,tbl_Data2[[#This Row],[Tx_Count_30D]]&gt;30,9)</f>
        <v>5</v>
      </c>
      <c r="M31" cm="1">
        <f t="array" ref="M31">_xlfn.IFS(
tbl_Data2[[#This Row],[Total_Amount_30D]]&lt;10000,2,
tbl_Data2[[#This Row],[Total_Amount_30D]]&lt;25000,5,
tbl_Data2[[#This Row],[Total_Amount_30D]]&lt;50000,7,
tbl_Data2[[#This Row],[Total_Amount_30D]]&gt;=50000,9
)</f>
        <v>5</v>
      </c>
      <c r="N31" cm="1">
        <f t="array" ref="N31">_xlfn.IFS(
tbl_Data2[[#This Row],[Amount_Deviation]]&lt;1.5,2,
tbl_Data2[[#This Row],[Amount_Deviation]]&lt;3,6,
tbl_Data2[[#This Row],[Amount_Deviation]]&lt;6,8,
tbl_Data2[[#This Row],[Amount_Deviation]]&gt;=6,10
)</f>
        <v>6</v>
      </c>
      <c r="O31">
        <f>ROUND(
    (tbl_Data2[[#This Row],[Geo_Score]]*0.2) +
    (tbl_Data2[[#This Row],[Velocity_Score]]*0.25) +
    (tbl_Data2[[#This Row],[Volume_Score]]*0.25) +
    (tbl_Data2[[#This Row],[Deviation_Score]]*0.3),
1
)</f>
        <v>6.1</v>
      </c>
      <c r="P31" t="str" cm="1">
        <f t="array" ref="P31">_xlfn.IFS(
tbl_Data2[[#This Row],[Final_Risk_Score]]&lt;5.5,"Low",
tbl_Data2[[#This Row],[Final_Risk_Score]]&lt;7.5,"Medium",
tbl_Data2[[#This Row],[Final_Risk_Score]]&gt;=7.5,"High"
)</f>
        <v>Medium</v>
      </c>
      <c r="Q31" t="str" cm="1">
        <f t="array" ref="Q31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32" spans="1:17" hidden="1">
      <c r="A32" t="str">
        <f>tbl_data[[#This Row],[Customer_ID]]</f>
        <v>CUST-031</v>
      </c>
      <c r="B32" t="str">
        <f>tbl_data[[#This Row],[Customer_Type]]</f>
        <v>Business</v>
      </c>
      <c r="C32" t="str">
        <f>tbl_data[[#This Row],[Country]]</f>
        <v>BVI</v>
      </c>
      <c r="D32" t="str">
        <f>tbl_data[[#This Row],[Industry]]</f>
        <v>Manufacturing</v>
      </c>
      <c r="E32">
        <f>tbl_data[[#This Row],[Tx_Count_30D]]</f>
        <v>34</v>
      </c>
      <c r="F32">
        <f>tbl_data[[#This Row],[Total_Amount_30D]]</f>
        <v>5194</v>
      </c>
      <c r="G32">
        <f>tbl_data[[#This Row],[Avg_Tx_Count_6M]]</f>
        <v>32</v>
      </c>
      <c r="H32">
        <f>tbl_data[[#This Row],[Avg_Total_Amount_6M]]</f>
        <v>46812</v>
      </c>
      <c r="I32">
        <f>IFERROR(tbl_Data2[[#This Row],[Tx_Count_30D]]/tbl_Data2[[#This Row],[Avg_Tx_Count_6M]],0)</f>
        <v>1.0625</v>
      </c>
      <c r="J32">
        <f>IFERROR(tbl_Data2[[#This Row],[Total_Amount_30D]]/tbl_Data2[[#This Row],[Avg_Total_Amount_6M]],0)</f>
        <v>0.11095445612236179</v>
      </c>
      <c r="K32">
        <f>_xlfn.XLOOKUP(tbl_Data2[[#This Row],[Country]], Geo_Map[Country], Geo_Map[Score], 5)</f>
        <v>9</v>
      </c>
      <c r="L32" cm="1">
        <f t="array" ref="L32">_xlfn.IFS(tbl_Data2[[#This Row],[Tx_Count_30D]]&lt;=5,2,tbl_Data2[[#This Row],[Tx_Count_30D]]&lt;=15,5,tbl_Data2[[#This Row],[Tx_Count_30D]]&lt;=30,7,tbl_Data2[[#This Row],[Tx_Count_30D]]&gt;30,9)</f>
        <v>9</v>
      </c>
      <c r="M32" cm="1">
        <f t="array" ref="M32">_xlfn.IFS(
tbl_Data2[[#This Row],[Total_Amount_30D]]&lt;10000,2,
tbl_Data2[[#This Row],[Total_Amount_30D]]&lt;25000,5,
tbl_Data2[[#This Row],[Total_Amount_30D]]&lt;50000,7,
tbl_Data2[[#This Row],[Total_Amount_30D]]&gt;=50000,9
)</f>
        <v>2</v>
      </c>
      <c r="N32" cm="1">
        <f t="array" ref="N32">_xlfn.IFS(
tbl_Data2[[#This Row],[Amount_Deviation]]&lt;1.5,2,
tbl_Data2[[#This Row],[Amount_Deviation]]&lt;3,6,
tbl_Data2[[#This Row],[Amount_Deviation]]&lt;6,8,
tbl_Data2[[#This Row],[Amount_Deviation]]&gt;=6,10
)</f>
        <v>2</v>
      </c>
      <c r="O32">
        <f>ROUND(
    (tbl_Data2[[#This Row],[Geo_Score]]*0.2) +
    (tbl_Data2[[#This Row],[Velocity_Score]]*0.25) +
    (tbl_Data2[[#This Row],[Volume_Score]]*0.25) +
    (tbl_Data2[[#This Row],[Deviation_Score]]*0.3),
1
)</f>
        <v>5.2</v>
      </c>
      <c r="P32" t="str" cm="1">
        <f t="array" ref="P32">_xlfn.IFS(
tbl_Data2[[#This Row],[Final_Risk_Score]]&lt;5.5,"Low",
tbl_Data2[[#This Row],[Final_Risk_Score]]&lt;7.5,"Medium",
tbl_Data2[[#This Row],[Final_Risk_Score]]&gt;=7.5,"High"
)</f>
        <v>Low</v>
      </c>
      <c r="Q32" t="str" cm="1">
        <f t="array" ref="Q32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33" spans="1:17" hidden="1">
      <c r="A33" t="str">
        <f>tbl_data[[#This Row],[Customer_ID]]</f>
        <v>CUST-032</v>
      </c>
      <c r="B33" t="str">
        <f>tbl_data[[#This Row],[Customer_Type]]</f>
        <v>Business</v>
      </c>
      <c r="C33" t="str">
        <f>tbl_data[[#This Row],[Country]]</f>
        <v>Panama</v>
      </c>
      <c r="D33" t="str">
        <f>tbl_data[[#This Row],[Industry]]</f>
        <v>Consulting</v>
      </c>
      <c r="E33">
        <f>tbl_data[[#This Row],[Tx_Count_30D]]</f>
        <v>31</v>
      </c>
      <c r="F33">
        <f>tbl_data[[#This Row],[Total_Amount_30D]]</f>
        <v>107297</v>
      </c>
      <c r="G33">
        <f>tbl_data[[#This Row],[Avg_Tx_Count_6M]]</f>
        <v>29</v>
      </c>
      <c r="H33">
        <f>tbl_data[[#This Row],[Avg_Total_Amount_6M]]</f>
        <v>38110</v>
      </c>
      <c r="I33">
        <f>IFERROR(tbl_Data2[[#This Row],[Tx_Count_30D]]/tbl_Data2[[#This Row],[Avg_Tx_Count_6M]],0)</f>
        <v>1.0689655172413792</v>
      </c>
      <c r="J33">
        <f>IFERROR(tbl_Data2[[#This Row],[Total_Amount_30D]]/tbl_Data2[[#This Row],[Avg_Total_Amount_6M]],0)</f>
        <v>2.815455261086329</v>
      </c>
      <c r="K33">
        <f>_xlfn.XLOOKUP(tbl_Data2[[#This Row],[Country]], Geo_Map[Country], Geo_Map[Score], 5)</f>
        <v>8</v>
      </c>
      <c r="L33" cm="1">
        <f t="array" ref="L33">_xlfn.IFS(tbl_Data2[[#This Row],[Tx_Count_30D]]&lt;=5,2,tbl_Data2[[#This Row],[Tx_Count_30D]]&lt;=15,5,tbl_Data2[[#This Row],[Tx_Count_30D]]&lt;=30,7,tbl_Data2[[#This Row],[Tx_Count_30D]]&gt;30,9)</f>
        <v>9</v>
      </c>
      <c r="M33" cm="1">
        <f t="array" ref="M33">_xlfn.IFS(
tbl_Data2[[#This Row],[Total_Amount_30D]]&lt;10000,2,
tbl_Data2[[#This Row],[Total_Amount_30D]]&lt;25000,5,
tbl_Data2[[#This Row],[Total_Amount_30D]]&lt;50000,7,
tbl_Data2[[#This Row],[Total_Amount_30D]]&gt;=50000,9
)</f>
        <v>9</v>
      </c>
      <c r="N33" cm="1">
        <f t="array" ref="N33">_xlfn.IFS(
tbl_Data2[[#This Row],[Amount_Deviation]]&lt;1.5,2,
tbl_Data2[[#This Row],[Amount_Deviation]]&lt;3,6,
tbl_Data2[[#This Row],[Amount_Deviation]]&lt;6,8,
tbl_Data2[[#This Row],[Amount_Deviation]]&gt;=6,10
)</f>
        <v>6</v>
      </c>
      <c r="O33">
        <f>ROUND(
    (tbl_Data2[[#This Row],[Geo_Score]]*0.2) +
    (tbl_Data2[[#This Row],[Velocity_Score]]*0.25) +
    (tbl_Data2[[#This Row],[Volume_Score]]*0.25) +
    (tbl_Data2[[#This Row],[Deviation_Score]]*0.3),
1
)</f>
        <v>7.9</v>
      </c>
      <c r="P33" t="str" cm="1">
        <f t="array" ref="P33">_xlfn.IFS(
tbl_Data2[[#This Row],[Final_Risk_Score]]&lt;5.5,"Low",
tbl_Data2[[#This Row],[Final_Risk_Score]]&lt;7.5,"Medium",
tbl_Data2[[#This Row],[Final_Risk_Score]]&gt;=7.5,"High"
)</f>
        <v>High</v>
      </c>
      <c r="Q33" t="str" cm="1">
        <f t="array" ref="Q33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34" spans="1:17" hidden="1">
      <c r="A34" t="str">
        <f>tbl_data[[#This Row],[Customer_ID]]</f>
        <v>CUST-033</v>
      </c>
      <c r="B34" t="str">
        <f>tbl_data[[#This Row],[Customer_Type]]</f>
        <v>Business</v>
      </c>
      <c r="C34" t="str">
        <f>tbl_data[[#This Row],[Country]]</f>
        <v>Hong Kong</v>
      </c>
      <c r="D34" t="str">
        <f>tbl_data[[#This Row],[Industry]]</f>
        <v>Consulting</v>
      </c>
      <c r="E34">
        <f>tbl_data[[#This Row],[Tx_Count_30D]]</f>
        <v>52</v>
      </c>
      <c r="F34">
        <f>tbl_data[[#This Row],[Total_Amount_30D]]</f>
        <v>9805</v>
      </c>
      <c r="G34">
        <f>tbl_data[[#This Row],[Avg_Tx_Count_6M]]</f>
        <v>9</v>
      </c>
      <c r="H34">
        <f>tbl_data[[#This Row],[Avg_Total_Amount_6M]]</f>
        <v>65380</v>
      </c>
      <c r="I34">
        <f>IFERROR(tbl_Data2[[#This Row],[Tx_Count_30D]]/tbl_Data2[[#This Row],[Avg_Tx_Count_6M]],0)</f>
        <v>5.7777777777777777</v>
      </c>
      <c r="J34">
        <f>IFERROR(tbl_Data2[[#This Row],[Total_Amount_30D]]/tbl_Data2[[#This Row],[Avg_Total_Amount_6M]],0)</f>
        <v>0.14996940960538391</v>
      </c>
      <c r="K34">
        <f>_xlfn.XLOOKUP(tbl_Data2[[#This Row],[Country]], Geo_Map[Country], Geo_Map[Score], 5)</f>
        <v>6</v>
      </c>
      <c r="L34" cm="1">
        <f t="array" ref="L34">_xlfn.IFS(tbl_Data2[[#This Row],[Tx_Count_30D]]&lt;=5,2,tbl_Data2[[#This Row],[Tx_Count_30D]]&lt;=15,5,tbl_Data2[[#This Row],[Tx_Count_30D]]&lt;=30,7,tbl_Data2[[#This Row],[Tx_Count_30D]]&gt;30,9)</f>
        <v>9</v>
      </c>
      <c r="M34" cm="1">
        <f t="array" ref="M34">_xlfn.IFS(
tbl_Data2[[#This Row],[Total_Amount_30D]]&lt;10000,2,
tbl_Data2[[#This Row],[Total_Amount_30D]]&lt;25000,5,
tbl_Data2[[#This Row],[Total_Amount_30D]]&lt;50000,7,
tbl_Data2[[#This Row],[Total_Amount_30D]]&gt;=50000,9
)</f>
        <v>2</v>
      </c>
      <c r="N34" cm="1">
        <f t="array" ref="N34">_xlfn.IFS(
tbl_Data2[[#This Row],[Amount_Deviation]]&lt;1.5,2,
tbl_Data2[[#This Row],[Amount_Deviation]]&lt;3,6,
tbl_Data2[[#This Row],[Amount_Deviation]]&lt;6,8,
tbl_Data2[[#This Row],[Amount_Deviation]]&gt;=6,10
)</f>
        <v>2</v>
      </c>
      <c r="O34">
        <f>ROUND(
    (tbl_Data2[[#This Row],[Geo_Score]]*0.2) +
    (tbl_Data2[[#This Row],[Velocity_Score]]*0.25) +
    (tbl_Data2[[#This Row],[Volume_Score]]*0.25) +
    (tbl_Data2[[#This Row],[Deviation_Score]]*0.3),
1
)</f>
        <v>4.5999999999999996</v>
      </c>
      <c r="P34" t="str" cm="1">
        <f t="array" ref="P34">_xlfn.IFS(
tbl_Data2[[#This Row],[Final_Risk_Score]]&lt;5.5,"Low",
tbl_Data2[[#This Row],[Final_Risk_Score]]&lt;7.5,"Medium",
tbl_Data2[[#This Row],[Final_Risk_Score]]&gt;=7.5,"High"
)</f>
        <v>Low</v>
      </c>
      <c r="Q34" t="str" cm="1">
        <f t="array" ref="Q34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35" spans="1:17" hidden="1">
      <c r="A35" t="str">
        <f>tbl_data[[#This Row],[Customer_ID]]</f>
        <v>CUST-034</v>
      </c>
      <c r="B35" t="str">
        <f>tbl_data[[#This Row],[Customer_Type]]</f>
        <v>Individual</v>
      </c>
      <c r="C35" t="str">
        <f>tbl_data[[#This Row],[Country]]</f>
        <v>BVI</v>
      </c>
      <c r="D35" t="str">
        <f>tbl_data[[#This Row],[Industry]]</f>
        <v>Trading</v>
      </c>
      <c r="E35">
        <f>tbl_data[[#This Row],[Tx_Count_30D]]</f>
        <v>56</v>
      </c>
      <c r="F35">
        <f>tbl_data[[#This Row],[Total_Amount_30D]]</f>
        <v>119756</v>
      </c>
      <c r="G35">
        <f>tbl_data[[#This Row],[Avg_Tx_Count_6M]]</f>
        <v>13</v>
      </c>
      <c r="H35">
        <f>tbl_data[[#This Row],[Avg_Total_Amount_6M]]</f>
        <v>45869</v>
      </c>
      <c r="I35">
        <f>IFERROR(tbl_Data2[[#This Row],[Tx_Count_30D]]/tbl_Data2[[#This Row],[Avg_Tx_Count_6M]],0)</f>
        <v>4.3076923076923075</v>
      </c>
      <c r="J35">
        <f>IFERROR(tbl_Data2[[#This Row],[Total_Amount_30D]]/tbl_Data2[[#This Row],[Avg_Total_Amount_6M]],0)</f>
        <v>2.6108264841178137</v>
      </c>
      <c r="K35">
        <f>_xlfn.XLOOKUP(tbl_Data2[[#This Row],[Country]], Geo_Map[Country], Geo_Map[Score], 5)</f>
        <v>9</v>
      </c>
      <c r="L35" cm="1">
        <f t="array" ref="L35">_xlfn.IFS(tbl_Data2[[#This Row],[Tx_Count_30D]]&lt;=5,2,tbl_Data2[[#This Row],[Tx_Count_30D]]&lt;=15,5,tbl_Data2[[#This Row],[Tx_Count_30D]]&lt;=30,7,tbl_Data2[[#This Row],[Tx_Count_30D]]&gt;30,9)</f>
        <v>9</v>
      </c>
      <c r="M35" cm="1">
        <f t="array" ref="M35">_xlfn.IFS(
tbl_Data2[[#This Row],[Total_Amount_30D]]&lt;10000,2,
tbl_Data2[[#This Row],[Total_Amount_30D]]&lt;25000,5,
tbl_Data2[[#This Row],[Total_Amount_30D]]&lt;50000,7,
tbl_Data2[[#This Row],[Total_Amount_30D]]&gt;=50000,9
)</f>
        <v>9</v>
      </c>
      <c r="N35" cm="1">
        <f t="array" ref="N35">_xlfn.IFS(
tbl_Data2[[#This Row],[Amount_Deviation]]&lt;1.5,2,
tbl_Data2[[#This Row],[Amount_Deviation]]&lt;3,6,
tbl_Data2[[#This Row],[Amount_Deviation]]&lt;6,8,
tbl_Data2[[#This Row],[Amount_Deviation]]&gt;=6,10
)</f>
        <v>6</v>
      </c>
      <c r="O35">
        <f>ROUND(
    (tbl_Data2[[#This Row],[Geo_Score]]*0.2) +
    (tbl_Data2[[#This Row],[Velocity_Score]]*0.25) +
    (tbl_Data2[[#This Row],[Volume_Score]]*0.25) +
    (tbl_Data2[[#This Row],[Deviation_Score]]*0.3),
1
)</f>
        <v>8.1</v>
      </c>
      <c r="P35" t="str" cm="1">
        <f t="array" ref="P35">_xlfn.IFS(
tbl_Data2[[#This Row],[Final_Risk_Score]]&lt;5.5,"Low",
tbl_Data2[[#This Row],[Final_Risk_Score]]&lt;7.5,"Medium",
tbl_Data2[[#This Row],[Final_Risk_Score]]&gt;=7.5,"High"
)</f>
        <v>High</v>
      </c>
      <c r="Q35" t="str" cm="1">
        <f t="array" ref="Q35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36" spans="1:17" hidden="1">
      <c r="A36" t="str">
        <f>tbl_data[[#This Row],[Customer_ID]]</f>
        <v>CUST-035</v>
      </c>
      <c r="B36" t="str">
        <f>tbl_data[[#This Row],[Customer_Type]]</f>
        <v>Business</v>
      </c>
      <c r="C36" t="str">
        <f>tbl_data[[#This Row],[Country]]</f>
        <v>Hong Kong</v>
      </c>
      <c r="D36" t="str">
        <f>tbl_data[[#This Row],[Industry]]</f>
        <v>IT Services</v>
      </c>
      <c r="E36">
        <f>tbl_data[[#This Row],[Tx_Count_30D]]</f>
        <v>44</v>
      </c>
      <c r="F36">
        <f>tbl_data[[#This Row],[Total_Amount_30D]]</f>
        <v>12647</v>
      </c>
      <c r="G36">
        <f>tbl_data[[#This Row],[Avg_Tx_Count_6M]]</f>
        <v>5</v>
      </c>
      <c r="H36">
        <f>tbl_data[[#This Row],[Avg_Total_Amount_6M]]</f>
        <v>37706</v>
      </c>
      <c r="I36">
        <f>IFERROR(tbl_Data2[[#This Row],[Tx_Count_30D]]/tbl_Data2[[#This Row],[Avg_Tx_Count_6M]],0)</f>
        <v>8.8000000000000007</v>
      </c>
      <c r="J36">
        <f>IFERROR(tbl_Data2[[#This Row],[Total_Amount_30D]]/tbl_Data2[[#This Row],[Avg_Total_Amount_6M]],0)</f>
        <v>0.33541080995067096</v>
      </c>
      <c r="K36">
        <f>_xlfn.XLOOKUP(tbl_Data2[[#This Row],[Country]], Geo_Map[Country], Geo_Map[Score], 5)</f>
        <v>6</v>
      </c>
      <c r="L36" cm="1">
        <f t="array" ref="L36">_xlfn.IFS(tbl_Data2[[#This Row],[Tx_Count_30D]]&lt;=5,2,tbl_Data2[[#This Row],[Tx_Count_30D]]&lt;=15,5,tbl_Data2[[#This Row],[Tx_Count_30D]]&lt;=30,7,tbl_Data2[[#This Row],[Tx_Count_30D]]&gt;30,9)</f>
        <v>9</v>
      </c>
      <c r="M36" cm="1">
        <f t="array" ref="M36">_xlfn.IFS(
tbl_Data2[[#This Row],[Total_Amount_30D]]&lt;10000,2,
tbl_Data2[[#This Row],[Total_Amount_30D]]&lt;25000,5,
tbl_Data2[[#This Row],[Total_Amount_30D]]&lt;50000,7,
tbl_Data2[[#This Row],[Total_Amount_30D]]&gt;=50000,9
)</f>
        <v>5</v>
      </c>
      <c r="N36" cm="1">
        <f t="array" ref="N36">_xlfn.IFS(
tbl_Data2[[#This Row],[Amount_Deviation]]&lt;1.5,2,
tbl_Data2[[#This Row],[Amount_Deviation]]&lt;3,6,
tbl_Data2[[#This Row],[Amount_Deviation]]&lt;6,8,
tbl_Data2[[#This Row],[Amount_Deviation]]&gt;=6,10
)</f>
        <v>2</v>
      </c>
      <c r="O36">
        <f>ROUND(
    (tbl_Data2[[#This Row],[Geo_Score]]*0.2) +
    (tbl_Data2[[#This Row],[Velocity_Score]]*0.25) +
    (tbl_Data2[[#This Row],[Volume_Score]]*0.25) +
    (tbl_Data2[[#This Row],[Deviation_Score]]*0.3),
1
)</f>
        <v>5.3</v>
      </c>
      <c r="P36" t="str" cm="1">
        <f t="array" ref="P36">_xlfn.IFS(
tbl_Data2[[#This Row],[Final_Risk_Score]]&lt;5.5,"Low",
tbl_Data2[[#This Row],[Final_Risk_Score]]&lt;7.5,"Medium",
tbl_Data2[[#This Row],[Final_Risk_Score]]&gt;=7.5,"High"
)</f>
        <v>Low</v>
      </c>
      <c r="Q36" t="str" cm="1">
        <f t="array" ref="Q36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37" spans="1:17">
      <c r="A37" t="str">
        <f>tbl_data[[#This Row],[Customer_ID]]</f>
        <v>CUST-036</v>
      </c>
      <c r="B37" t="str">
        <f>tbl_data[[#This Row],[Customer_Type]]</f>
        <v>Individual</v>
      </c>
      <c r="C37" t="str">
        <f>tbl_data[[#This Row],[Country]]</f>
        <v>UAE</v>
      </c>
      <c r="D37" t="str">
        <f>tbl_data[[#This Row],[Industry]]</f>
        <v>Consulting</v>
      </c>
      <c r="E37">
        <f>tbl_data[[#This Row],[Tx_Count_30D]]</f>
        <v>11</v>
      </c>
      <c r="F37">
        <f>tbl_data[[#This Row],[Total_Amount_30D]]</f>
        <v>82857</v>
      </c>
      <c r="G37">
        <f>tbl_data[[#This Row],[Avg_Tx_Count_6M]]</f>
        <v>22</v>
      </c>
      <c r="H37">
        <f>tbl_data[[#This Row],[Avg_Total_Amount_6M]]</f>
        <v>20850</v>
      </c>
      <c r="I37">
        <f>IFERROR(tbl_Data2[[#This Row],[Tx_Count_30D]]/tbl_Data2[[#This Row],[Avg_Tx_Count_6M]],0)</f>
        <v>0.5</v>
      </c>
      <c r="J37">
        <f>IFERROR(tbl_Data2[[#This Row],[Total_Amount_30D]]/tbl_Data2[[#This Row],[Avg_Total_Amount_6M]],0)</f>
        <v>3.9739568345323741</v>
      </c>
      <c r="K37">
        <f>_xlfn.XLOOKUP(tbl_Data2[[#This Row],[Country]], Geo_Map[Country], Geo_Map[Score], 5)</f>
        <v>6</v>
      </c>
      <c r="L37" cm="1">
        <f t="array" ref="L37">_xlfn.IFS(tbl_Data2[[#This Row],[Tx_Count_30D]]&lt;=5,2,tbl_Data2[[#This Row],[Tx_Count_30D]]&lt;=15,5,tbl_Data2[[#This Row],[Tx_Count_30D]]&lt;=30,7,tbl_Data2[[#This Row],[Tx_Count_30D]]&gt;30,9)</f>
        <v>5</v>
      </c>
      <c r="M37" cm="1">
        <f t="array" ref="M37">_xlfn.IFS(
tbl_Data2[[#This Row],[Total_Amount_30D]]&lt;10000,2,
tbl_Data2[[#This Row],[Total_Amount_30D]]&lt;25000,5,
tbl_Data2[[#This Row],[Total_Amount_30D]]&lt;50000,7,
tbl_Data2[[#This Row],[Total_Amount_30D]]&gt;=50000,9
)</f>
        <v>9</v>
      </c>
      <c r="N37" cm="1">
        <f t="array" ref="N37">_xlfn.IFS(
tbl_Data2[[#This Row],[Amount_Deviation]]&lt;1.5,2,
tbl_Data2[[#This Row],[Amount_Deviation]]&lt;3,6,
tbl_Data2[[#This Row],[Amount_Deviation]]&lt;6,8,
tbl_Data2[[#This Row],[Amount_Deviation]]&gt;=6,10
)</f>
        <v>8</v>
      </c>
      <c r="O37">
        <f>ROUND(
    (tbl_Data2[[#This Row],[Geo_Score]]*0.2) +
    (tbl_Data2[[#This Row],[Velocity_Score]]*0.25) +
    (tbl_Data2[[#This Row],[Volume_Score]]*0.25) +
    (tbl_Data2[[#This Row],[Deviation_Score]]*0.3),
1
)</f>
        <v>7.1</v>
      </c>
      <c r="P37" t="str" cm="1">
        <f t="array" ref="P37">_xlfn.IFS(
tbl_Data2[[#This Row],[Final_Risk_Score]]&lt;5.5,"Low",
tbl_Data2[[#This Row],[Final_Risk_Score]]&lt;7.5,"Medium",
tbl_Data2[[#This Row],[Final_Risk_Score]]&gt;=7.5,"High"
)</f>
        <v>Medium</v>
      </c>
      <c r="Q37" t="str" cm="1">
        <f t="array" ref="Q37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38" spans="1:17" hidden="1">
      <c r="A38" t="str">
        <f>tbl_data[[#This Row],[Customer_ID]]</f>
        <v>CUST-037</v>
      </c>
      <c r="B38" t="str">
        <f>tbl_data[[#This Row],[Customer_Type]]</f>
        <v>Business</v>
      </c>
      <c r="C38" t="str">
        <f>tbl_data[[#This Row],[Country]]</f>
        <v>UAE</v>
      </c>
      <c r="D38" t="str">
        <f>tbl_data[[#This Row],[Industry]]</f>
        <v>Trading</v>
      </c>
      <c r="E38">
        <f>tbl_data[[#This Row],[Tx_Count_30D]]</f>
        <v>60</v>
      </c>
      <c r="F38">
        <f>tbl_data[[#This Row],[Total_Amount_30D]]</f>
        <v>111928</v>
      </c>
      <c r="G38">
        <f>tbl_data[[#This Row],[Avg_Tx_Count_6M]]</f>
        <v>21</v>
      </c>
      <c r="H38">
        <f>tbl_data[[#This Row],[Avg_Total_Amount_6M]]</f>
        <v>53843</v>
      </c>
      <c r="I38">
        <f>IFERROR(tbl_Data2[[#This Row],[Tx_Count_30D]]/tbl_Data2[[#This Row],[Avg_Tx_Count_6M]],0)</f>
        <v>2.8571428571428572</v>
      </c>
      <c r="J38">
        <f>IFERROR(tbl_Data2[[#This Row],[Total_Amount_30D]]/tbl_Data2[[#This Row],[Avg_Total_Amount_6M]],0)</f>
        <v>2.0787846145274225</v>
      </c>
      <c r="K38">
        <f>_xlfn.XLOOKUP(tbl_Data2[[#This Row],[Country]], Geo_Map[Country], Geo_Map[Score], 5)</f>
        <v>6</v>
      </c>
      <c r="L38" cm="1">
        <f t="array" ref="L38">_xlfn.IFS(tbl_Data2[[#This Row],[Tx_Count_30D]]&lt;=5,2,tbl_Data2[[#This Row],[Tx_Count_30D]]&lt;=15,5,tbl_Data2[[#This Row],[Tx_Count_30D]]&lt;=30,7,tbl_Data2[[#This Row],[Tx_Count_30D]]&gt;30,9)</f>
        <v>9</v>
      </c>
      <c r="M38" cm="1">
        <f t="array" ref="M38">_xlfn.IFS(
tbl_Data2[[#This Row],[Total_Amount_30D]]&lt;10000,2,
tbl_Data2[[#This Row],[Total_Amount_30D]]&lt;25000,5,
tbl_Data2[[#This Row],[Total_Amount_30D]]&lt;50000,7,
tbl_Data2[[#This Row],[Total_Amount_30D]]&gt;=50000,9
)</f>
        <v>9</v>
      </c>
      <c r="N38" cm="1">
        <f t="array" ref="N38">_xlfn.IFS(
tbl_Data2[[#This Row],[Amount_Deviation]]&lt;1.5,2,
tbl_Data2[[#This Row],[Amount_Deviation]]&lt;3,6,
tbl_Data2[[#This Row],[Amount_Deviation]]&lt;6,8,
tbl_Data2[[#This Row],[Amount_Deviation]]&gt;=6,10
)</f>
        <v>6</v>
      </c>
      <c r="O38">
        <f>ROUND(
    (tbl_Data2[[#This Row],[Geo_Score]]*0.2) +
    (tbl_Data2[[#This Row],[Velocity_Score]]*0.25) +
    (tbl_Data2[[#This Row],[Volume_Score]]*0.25) +
    (tbl_Data2[[#This Row],[Deviation_Score]]*0.3),
1
)</f>
        <v>7.5</v>
      </c>
      <c r="P38" t="str" cm="1">
        <f t="array" ref="P38">_xlfn.IFS(
tbl_Data2[[#This Row],[Final_Risk_Score]]&lt;5.5,"Low",
tbl_Data2[[#This Row],[Final_Risk_Score]]&lt;7.5,"Medium",
tbl_Data2[[#This Row],[Final_Risk_Score]]&gt;=7.5,"High"
)</f>
        <v>High</v>
      </c>
      <c r="Q38" t="str" cm="1">
        <f t="array" ref="Q38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39" spans="1:17" hidden="1">
      <c r="A39" t="str">
        <f>tbl_data[[#This Row],[Customer_ID]]</f>
        <v>CUST-038</v>
      </c>
      <c r="B39" t="str">
        <f>tbl_data[[#This Row],[Customer_Type]]</f>
        <v>Business</v>
      </c>
      <c r="C39" t="str">
        <f>tbl_data[[#This Row],[Country]]</f>
        <v>Seychelles</v>
      </c>
      <c r="D39" t="str">
        <f>tbl_data[[#This Row],[Industry]]</f>
        <v>Manufacturing</v>
      </c>
      <c r="E39">
        <f>tbl_data[[#This Row],[Tx_Count_30D]]</f>
        <v>3</v>
      </c>
      <c r="F39">
        <f>tbl_data[[#This Row],[Total_Amount_30D]]</f>
        <v>20019</v>
      </c>
      <c r="G39">
        <f>tbl_data[[#This Row],[Avg_Tx_Count_6M]]</f>
        <v>29</v>
      </c>
      <c r="H39">
        <f>tbl_data[[#This Row],[Avg_Total_Amount_6M]]</f>
        <v>29701</v>
      </c>
      <c r="I39">
        <f>IFERROR(tbl_Data2[[#This Row],[Tx_Count_30D]]/tbl_Data2[[#This Row],[Avg_Tx_Count_6M]],0)</f>
        <v>0.10344827586206896</v>
      </c>
      <c r="J39">
        <f>IFERROR(tbl_Data2[[#This Row],[Total_Amount_30D]]/tbl_Data2[[#This Row],[Avg_Total_Amount_6M]],0)</f>
        <v>0.67401770984141951</v>
      </c>
      <c r="K39">
        <f>_xlfn.XLOOKUP(tbl_Data2[[#This Row],[Country]], Geo_Map[Country], Geo_Map[Score], 5)</f>
        <v>9</v>
      </c>
      <c r="L39" cm="1">
        <f t="array" ref="L39">_xlfn.IFS(tbl_Data2[[#This Row],[Tx_Count_30D]]&lt;=5,2,tbl_Data2[[#This Row],[Tx_Count_30D]]&lt;=15,5,tbl_Data2[[#This Row],[Tx_Count_30D]]&lt;=30,7,tbl_Data2[[#This Row],[Tx_Count_30D]]&gt;30,9)</f>
        <v>2</v>
      </c>
      <c r="M39" cm="1">
        <f t="array" ref="M39">_xlfn.IFS(
tbl_Data2[[#This Row],[Total_Amount_30D]]&lt;10000,2,
tbl_Data2[[#This Row],[Total_Amount_30D]]&lt;25000,5,
tbl_Data2[[#This Row],[Total_Amount_30D]]&lt;50000,7,
tbl_Data2[[#This Row],[Total_Amount_30D]]&gt;=50000,9
)</f>
        <v>5</v>
      </c>
      <c r="N39" cm="1">
        <f t="array" ref="N39">_xlfn.IFS(
tbl_Data2[[#This Row],[Amount_Deviation]]&lt;1.5,2,
tbl_Data2[[#This Row],[Amount_Deviation]]&lt;3,6,
tbl_Data2[[#This Row],[Amount_Deviation]]&lt;6,8,
tbl_Data2[[#This Row],[Amount_Deviation]]&gt;=6,10
)</f>
        <v>2</v>
      </c>
      <c r="O39">
        <f>ROUND(
    (tbl_Data2[[#This Row],[Geo_Score]]*0.2) +
    (tbl_Data2[[#This Row],[Velocity_Score]]*0.25) +
    (tbl_Data2[[#This Row],[Volume_Score]]*0.25) +
    (tbl_Data2[[#This Row],[Deviation_Score]]*0.3),
1
)</f>
        <v>4.2</v>
      </c>
      <c r="P39" t="str" cm="1">
        <f t="array" ref="P39">_xlfn.IFS(
tbl_Data2[[#This Row],[Final_Risk_Score]]&lt;5.5,"Low",
tbl_Data2[[#This Row],[Final_Risk_Score]]&lt;7.5,"Medium",
tbl_Data2[[#This Row],[Final_Risk_Score]]&gt;=7.5,"High"
)</f>
        <v>Low</v>
      </c>
      <c r="Q39" t="str" cm="1">
        <f t="array" ref="Q39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40" spans="1:17">
      <c r="A40" t="str">
        <f>tbl_data[[#This Row],[Customer_ID]]</f>
        <v>CUST-039</v>
      </c>
      <c r="B40" t="str">
        <f>tbl_data[[#This Row],[Customer_Type]]</f>
        <v>Business</v>
      </c>
      <c r="C40" t="str">
        <f>tbl_data[[#This Row],[Country]]</f>
        <v>Cyprus</v>
      </c>
      <c r="D40" t="str">
        <f>tbl_data[[#This Row],[Industry]]</f>
        <v>Import/Export</v>
      </c>
      <c r="E40">
        <f>tbl_data[[#This Row],[Tx_Count_30D]]</f>
        <v>31</v>
      </c>
      <c r="F40">
        <f>tbl_data[[#This Row],[Total_Amount_30D]]</f>
        <v>25459</v>
      </c>
      <c r="G40">
        <f>tbl_data[[#This Row],[Avg_Tx_Count_6M]]</f>
        <v>36</v>
      </c>
      <c r="H40">
        <f>tbl_data[[#This Row],[Avg_Total_Amount_6M]]</f>
        <v>18087</v>
      </c>
      <c r="I40">
        <f>IFERROR(tbl_Data2[[#This Row],[Tx_Count_30D]]/tbl_Data2[[#This Row],[Avg_Tx_Count_6M]],0)</f>
        <v>0.86111111111111116</v>
      </c>
      <c r="J40">
        <f>IFERROR(tbl_Data2[[#This Row],[Total_Amount_30D]]/tbl_Data2[[#This Row],[Avg_Total_Amount_6M]],0)</f>
        <v>1.4075855586885608</v>
      </c>
      <c r="K40">
        <f>_xlfn.XLOOKUP(tbl_Data2[[#This Row],[Country]], Geo_Map[Country], Geo_Map[Score], 5)</f>
        <v>7</v>
      </c>
      <c r="L40" cm="1">
        <f t="array" ref="L40">_xlfn.IFS(tbl_Data2[[#This Row],[Tx_Count_30D]]&lt;=5,2,tbl_Data2[[#This Row],[Tx_Count_30D]]&lt;=15,5,tbl_Data2[[#This Row],[Tx_Count_30D]]&lt;=30,7,tbl_Data2[[#This Row],[Tx_Count_30D]]&gt;30,9)</f>
        <v>9</v>
      </c>
      <c r="M40" cm="1">
        <f t="array" ref="M40">_xlfn.IFS(
tbl_Data2[[#This Row],[Total_Amount_30D]]&lt;10000,2,
tbl_Data2[[#This Row],[Total_Amount_30D]]&lt;25000,5,
tbl_Data2[[#This Row],[Total_Amount_30D]]&lt;50000,7,
tbl_Data2[[#This Row],[Total_Amount_30D]]&gt;=50000,9
)</f>
        <v>7</v>
      </c>
      <c r="N40" cm="1">
        <f t="array" ref="N40">_xlfn.IFS(
tbl_Data2[[#This Row],[Amount_Deviation]]&lt;1.5,2,
tbl_Data2[[#This Row],[Amount_Deviation]]&lt;3,6,
tbl_Data2[[#This Row],[Amount_Deviation]]&lt;6,8,
tbl_Data2[[#This Row],[Amount_Deviation]]&gt;=6,10
)</f>
        <v>2</v>
      </c>
      <c r="O40">
        <f>ROUND(
    (tbl_Data2[[#This Row],[Geo_Score]]*0.2) +
    (tbl_Data2[[#This Row],[Velocity_Score]]*0.25) +
    (tbl_Data2[[#This Row],[Volume_Score]]*0.25) +
    (tbl_Data2[[#This Row],[Deviation_Score]]*0.3),
1
)</f>
        <v>6</v>
      </c>
      <c r="P40" t="str" cm="1">
        <f t="array" ref="P40">_xlfn.IFS(
tbl_Data2[[#This Row],[Final_Risk_Score]]&lt;5.5,"Low",
tbl_Data2[[#This Row],[Final_Risk_Score]]&lt;7.5,"Medium",
tbl_Data2[[#This Row],[Final_Risk_Score]]&gt;=7.5,"High"
)</f>
        <v>Medium</v>
      </c>
      <c r="Q40" t="str" cm="1">
        <f t="array" ref="Q40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41" spans="1:17">
      <c r="A41" t="str">
        <f>tbl_data[[#This Row],[Customer_ID]]</f>
        <v>CUST-040</v>
      </c>
      <c r="B41" t="str">
        <f>tbl_data[[#This Row],[Customer_Type]]</f>
        <v>Business</v>
      </c>
      <c r="C41" t="str">
        <f>tbl_data[[#This Row],[Country]]</f>
        <v>Cyprus</v>
      </c>
      <c r="D41" t="str">
        <f>tbl_data[[#This Row],[Industry]]</f>
        <v>Logistics</v>
      </c>
      <c r="E41">
        <f>tbl_data[[#This Row],[Tx_Count_30D]]</f>
        <v>35</v>
      </c>
      <c r="F41">
        <f>tbl_data[[#This Row],[Total_Amount_30D]]</f>
        <v>43282</v>
      </c>
      <c r="G41">
        <f>tbl_data[[#This Row],[Avg_Tx_Count_6M]]</f>
        <v>16</v>
      </c>
      <c r="H41">
        <f>tbl_data[[#This Row],[Avg_Total_Amount_6M]]</f>
        <v>17025</v>
      </c>
      <c r="I41">
        <f>IFERROR(tbl_Data2[[#This Row],[Tx_Count_30D]]/tbl_Data2[[#This Row],[Avg_Tx_Count_6M]],0)</f>
        <v>2.1875</v>
      </c>
      <c r="J41">
        <f>IFERROR(tbl_Data2[[#This Row],[Total_Amount_30D]]/tbl_Data2[[#This Row],[Avg_Total_Amount_6M]],0)</f>
        <v>2.5422613803230543</v>
      </c>
      <c r="K41">
        <f>_xlfn.XLOOKUP(tbl_Data2[[#This Row],[Country]], Geo_Map[Country], Geo_Map[Score], 5)</f>
        <v>7</v>
      </c>
      <c r="L41" cm="1">
        <f t="array" ref="L41">_xlfn.IFS(tbl_Data2[[#This Row],[Tx_Count_30D]]&lt;=5,2,tbl_Data2[[#This Row],[Tx_Count_30D]]&lt;=15,5,tbl_Data2[[#This Row],[Tx_Count_30D]]&lt;=30,7,tbl_Data2[[#This Row],[Tx_Count_30D]]&gt;30,9)</f>
        <v>9</v>
      </c>
      <c r="M41" cm="1">
        <f t="array" ref="M41">_xlfn.IFS(
tbl_Data2[[#This Row],[Total_Amount_30D]]&lt;10000,2,
tbl_Data2[[#This Row],[Total_Amount_30D]]&lt;25000,5,
tbl_Data2[[#This Row],[Total_Amount_30D]]&lt;50000,7,
tbl_Data2[[#This Row],[Total_Amount_30D]]&gt;=50000,9
)</f>
        <v>7</v>
      </c>
      <c r="N41" cm="1">
        <f t="array" ref="N41">_xlfn.IFS(
tbl_Data2[[#This Row],[Amount_Deviation]]&lt;1.5,2,
tbl_Data2[[#This Row],[Amount_Deviation]]&lt;3,6,
tbl_Data2[[#This Row],[Amount_Deviation]]&lt;6,8,
tbl_Data2[[#This Row],[Amount_Deviation]]&gt;=6,10
)</f>
        <v>6</v>
      </c>
      <c r="O41">
        <f>ROUND(
    (tbl_Data2[[#This Row],[Geo_Score]]*0.2) +
    (tbl_Data2[[#This Row],[Velocity_Score]]*0.25) +
    (tbl_Data2[[#This Row],[Volume_Score]]*0.25) +
    (tbl_Data2[[#This Row],[Deviation_Score]]*0.3),
1
)</f>
        <v>7.2</v>
      </c>
      <c r="P41" t="str" cm="1">
        <f t="array" ref="P41">_xlfn.IFS(
tbl_Data2[[#This Row],[Final_Risk_Score]]&lt;5.5,"Low",
tbl_Data2[[#This Row],[Final_Risk_Score]]&lt;7.5,"Medium",
tbl_Data2[[#This Row],[Final_Risk_Score]]&gt;=7.5,"High"
)</f>
        <v>Medium</v>
      </c>
      <c r="Q41" t="str" cm="1">
        <f t="array" ref="Q41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42" spans="1:17">
      <c r="A42" t="str">
        <f>tbl_data[[#This Row],[Customer_ID]]</f>
        <v>CUST-041</v>
      </c>
      <c r="B42" t="str">
        <f>tbl_data[[#This Row],[Customer_Type]]</f>
        <v>Business</v>
      </c>
      <c r="C42" t="str">
        <f>tbl_data[[#This Row],[Country]]</f>
        <v>Panama</v>
      </c>
      <c r="D42" t="str">
        <f>tbl_data[[#This Row],[Industry]]</f>
        <v>Logistics</v>
      </c>
      <c r="E42">
        <f>tbl_data[[#This Row],[Tx_Count_30D]]</f>
        <v>43</v>
      </c>
      <c r="F42">
        <f>tbl_data[[#This Row],[Total_Amount_30D]]</f>
        <v>13647</v>
      </c>
      <c r="G42">
        <f>tbl_data[[#This Row],[Avg_Tx_Count_6M]]</f>
        <v>26</v>
      </c>
      <c r="H42">
        <f>tbl_data[[#This Row],[Avg_Total_Amount_6M]]</f>
        <v>64742</v>
      </c>
      <c r="I42">
        <f>IFERROR(tbl_Data2[[#This Row],[Tx_Count_30D]]/tbl_Data2[[#This Row],[Avg_Tx_Count_6M]],0)</f>
        <v>1.6538461538461537</v>
      </c>
      <c r="J42">
        <f>IFERROR(tbl_Data2[[#This Row],[Total_Amount_30D]]/tbl_Data2[[#This Row],[Avg_Total_Amount_6M]],0)</f>
        <v>0.21079052238114362</v>
      </c>
      <c r="K42">
        <f>_xlfn.XLOOKUP(tbl_Data2[[#This Row],[Country]], Geo_Map[Country], Geo_Map[Score], 5)</f>
        <v>8</v>
      </c>
      <c r="L42" cm="1">
        <f t="array" ref="L42">_xlfn.IFS(tbl_Data2[[#This Row],[Tx_Count_30D]]&lt;=5,2,tbl_Data2[[#This Row],[Tx_Count_30D]]&lt;=15,5,tbl_Data2[[#This Row],[Tx_Count_30D]]&lt;=30,7,tbl_Data2[[#This Row],[Tx_Count_30D]]&gt;30,9)</f>
        <v>9</v>
      </c>
      <c r="M42" cm="1">
        <f t="array" ref="M42">_xlfn.IFS(
tbl_Data2[[#This Row],[Total_Amount_30D]]&lt;10000,2,
tbl_Data2[[#This Row],[Total_Amount_30D]]&lt;25000,5,
tbl_Data2[[#This Row],[Total_Amount_30D]]&lt;50000,7,
tbl_Data2[[#This Row],[Total_Amount_30D]]&gt;=50000,9
)</f>
        <v>5</v>
      </c>
      <c r="N42" cm="1">
        <f t="array" ref="N42">_xlfn.IFS(
tbl_Data2[[#This Row],[Amount_Deviation]]&lt;1.5,2,
tbl_Data2[[#This Row],[Amount_Deviation]]&lt;3,6,
tbl_Data2[[#This Row],[Amount_Deviation]]&lt;6,8,
tbl_Data2[[#This Row],[Amount_Deviation]]&gt;=6,10
)</f>
        <v>2</v>
      </c>
      <c r="O42">
        <f>ROUND(
    (tbl_Data2[[#This Row],[Geo_Score]]*0.2) +
    (tbl_Data2[[#This Row],[Velocity_Score]]*0.25) +
    (tbl_Data2[[#This Row],[Volume_Score]]*0.25) +
    (tbl_Data2[[#This Row],[Deviation_Score]]*0.3),
1
)</f>
        <v>5.7</v>
      </c>
      <c r="P42" t="str" cm="1">
        <f t="array" ref="P42">_xlfn.IFS(
tbl_Data2[[#This Row],[Final_Risk_Score]]&lt;5.5,"Low",
tbl_Data2[[#This Row],[Final_Risk_Score]]&lt;7.5,"Medium",
tbl_Data2[[#This Row],[Final_Risk_Score]]&gt;=7.5,"High"
)</f>
        <v>Medium</v>
      </c>
      <c r="Q42" t="str" cm="1">
        <f t="array" ref="Q42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43" spans="1:17">
      <c r="A43" t="str">
        <f>tbl_data[[#This Row],[Customer_ID]]</f>
        <v>CUST-042</v>
      </c>
      <c r="B43" t="str">
        <f>tbl_data[[#This Row],[Customer_Type]]</f>
        <v>Business</v>
      </c>
      <c r="C43" t="str">
        <f>tbl_data[[#This Row],[Country]]</f>
        <v>USA</v>
      </c>
      <c r="D43" t="str">
        <f>tbl_data[[#This Row],[Industry]]</f>
        <v>Trading</v>
      </c>
      <c r="E43">
        <f>tbl_data[[#This Row],[Tx_Count_30D]]</f>
        <v>7</v>
      </c>
      <c r="F43">
        <f>tbl_data[[#This Row],[Total_Amount_30D]]</f>
        <v>77319</v>
      </c>
      <c r="G43">
        <f>tbl_data[[#This Row],[Avg_Tx_Count_6M]]</f>
        <v>11</v>
      </c>
      <c r="H43">
        <f>tbl_data[[#This Row],[Avg_Total_Amount_6M]]</f>
        <v>12517</v>
      </c>
      <c r="I43">
        <f>IFERROR(tbl_Data2[[#This Row],[Tx_Count_30D]]/tbl_Data2[[#This Row],[Avg_Tx_Count_6M]],0)</f>
        <v>0.63636363636363635</v>
      </c>
      <c r="J43">
        <f>IFERROR(tbl_Data2[[#This Row],[Total_Amount_30D]]/tbl_Data2[[#This Row],[Avg_Total_Amount_6M]],0)</f>
        <v>6.1771191179995206</v>
      </c>
      <c r="K43">
        <f>_xlfn.XLOOKUP(tbl_Data2[[#This Row],[Country]], Geo_Map[Country], Geo_Map[Score], 5)</f>
        <v>1</v>
      </c>
      <c r="L43" cm="1">
        <f t="array" ref="L43">_xlfn.IFS(tbl_Data2[[#This Row],[Tx_Count_30D]]&lt;=5,2,tbl_Data2[[#This Row],[Tx_Count_30D]]&lt;=15,5,tbl_Data2[[#This Row],[Tx_Count_30D]]&lt;=30,7,tbl_Data2[[#This Row],[Tx_Count_30D]]&gt;30,9)</f>
        <v>5</v>
      </c>
      <c r="M43" cm="1">
        <f t="array" ref="M43">_xlfn.IFS(
tbl_Data2[[#This Row],[Total_Amount_30D]]&lt;10000,2,
tbl_Data2[[#This Row],[Total_Amount_30D]]&lt;25000,5,
tbl_Data2[[#This Row],[Total_Amount_30D]]&lt;50000,7,
tbl_Data2[[#This Row],[Total_Amount_30D]]&gt;=50000,9
)</f>
        <v>9</v>
      </c>
      <c r="N43" cm="1">
        <f t="array" ref="N43">_xlfn.IFS(
tbl_Data2[[#This Row],[Amount_Deviation]]&lt;1.5,2,
tbl_Data2[[#This Row],[Amount_Deviation]]&lt;3,6,
tbl_Data2[[#This Row],[Amount_Deviation]]&lt;6,8,
tbl_Data2[[#This Row],[Amount_Deviation]]&gt;=6,10
)</f>
        <v>10</v>
      </c>
      <c r="O43">
        <f>ROUND(
    (tbl_Data2[[#This Row],[Geo_Score]]*0.2) +
    (tbl_Data2[[#This Row],[Velocity_Score]]*0.25) +
    (tbl_Data2[[#This Row],[Volume_Score]]*0.25) +
    (tbl_Data2[[#This Row],[Deviation_Score]]*0.3),
1
)</f>
        <v>6.7</v>
      </c>
      <c r="P43" t="str" cm="1">
        <f t="array" ref="P43">_xlfn.IFS(
tbl_Data2[[#This Row],[Final_Risk_Score]]&lt;5.5,"Low",
tbl_Data2[[#This Row],[Final_Risk_Score]]&lt;7.5,"Medium",
tbl_Data2[[#This Row],[Final_Risk_Score]]&gt;=7.5,"High"
)</f>
        <v>Medium</v>
      </c>
      <c r="Q43" t="str" cm="1">
        <f t="array" ref="Q43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44" spans="1:17" hidden="1">
      <c r="A44" t="str">
        <f>tbl_data[[#This Row],[Customer_ID]]</f>
        <v>CUST-043</v>
      </c>
      <c r="B44" t="str">
        <f>tbl_data[[#This Row],[Customer_Type]]</f>
        <v>Business</v>
      </c>
      <c r="C44" t="str">
        <f>tbl_data[[#This Row],[Country]]</f>
        <v>Seychelles</v>
      </c>
      <c r="D44" t="str">
        <f>tbl_data[[#This Row],[Industry]]</f>
        <v>Import/Export</v>
      </c>
      <c r="E44">
        <f>tbl_data[[#This Row],[Tx_Count_30D]]</f>
        <v>43</v>
      </c>
      <c r="F44">
        <f>tbl_data[[#This Row],[Total_Amount_30D]]</f>
        <v>95085</v>
      </c>
      <c r="G44">
        <f>tbl_data[[#This Row],[Avg_Tx_Count_6M]]</f>
        <v>33</v>
      </c>
      <c r="H44">
        <f>tbl_data[[#This Row],[Avg_Total_Amount_6M]]</f>
        <v>18347</v>
      </c>
      <c r="I44">
        <f>IFERROR(tbl_Data2[[#This Row],[Tx_Count_30D]]/tbl_Data2[[#This Row],[Avg_Tx_Count_6M]],0)</f>
        <v>1.303030303030303</v>
      </c>
      <c r="J44">
        <f>IFERROR(tbl_Data2[[#This Row],[Total_Amount_30D]]/tbl_Data2[[#This Row],[Avg_Total_Amount_6M]],0)</f>
        <v>5.1825911593175995</v>
      </c>
      <c r="K44">
        <f>_xlfn.XLOOKUP(tbl_Data2[[#This Row],[Country]], Geo_Map[Country], Geo_Map[Score], 5)</f>
        <v>9</v>
      </c>
      <c r="L44" cm="1">
        <f t="array" ref="L44">_xlfn.IFS(tbl_Data2[[#This Row],[Tx_Count_30D]]&lt;=5,2,tbl_Data2[[#This Row],[Tx_Count_30D]]&lt;=15,5,tbl_Data2[[#This Row],[Tx_Count_30D]]&lt;=30,7,tbl_Data2[[#This Row],[Tx_Count_30D]]&gt;30,9)</f>
        <v>9</v>
      </c>
      <c r="M44" cm="1">
        <f t="array" ref="M44">_xlfn.IFS(
tbl_Data2[[#This Row],[Total_Amount_30D]]&lt;10000,2,
tbl_Data2[[#This Row],[Total_Amount_30D]]&lt;25000,5,
tbl_Data2[[#This Row],[Total_Amount_30D]]&lt;50000,7,
tbl_Data2[[#This Row],[Total_Amount_30D]]&gt;=50000,9
)</f>
        <v>9</v>
      </c>
      <c r="N44" cm="1">
        <f t="array" ref="N44">_xlfn.IFS(
tbl_Data2[[#This Row],[Amount_Deviation]]&lt;1.5,2,
tbl_Data2[[#This Row],[Amount_Deviation]]&lt;3,6,
tbl_Data2[[#This Row],[Amount_Deviation]]&lt;6,8,
tbl_Data2[[#This Row],[Amount_Deviation]]&gt;=6,10
)</f>
        <v>8</v>
      </c>
      <c r="O44">
        <f>ROUND(
    (tbl_Data2[[#This Row],[Geo_Score]]*0.2) +
    (tbl_Data2[[#This Row],[Velocity_Score]]*0.25) +
    (tbl_Data2[[#This Row],[Volume_Score]]*0.25) +
    (tbl_Data2[[#This Row],[Deviation_Score]]*0.3),
1
)</f>
        <v>8.6999999999999993</v>
      </c>
      <c r="P44" t="str" cm="1">
        <f t="array" ref="P44">_xlfn.IFS(
tbl_Data2[[#This Row],[Final_Risk_Score]]&lt;5.5,"Low",
tbl_Data2[[#This Row],[Final_Risk_Score]]&lt;7.5,"Medium",
tbl_Data2[[#This Row],[Final_Risk_Score]]&gt;=7.5,"High"
)</f>
        <v>High</v>
      </c>
      <c r="Q44" t="str" cm="1">
        <f t="array" ref="Q44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45" spans="1:17">
      <c r="A45" t="str">
        <f>tbl_data[[#This Row],[Customer_ID]]</f>
        <v>CUST-044</v>
      </c>
      <c r="B45" t="str">
        <f>tbl_data[[#This Row],[Customer_Type]]</f>
        <v>Business</v>
      </c>
      <c r="C45" t="str">
        <f>tbl_data[[#This Row],[Country]]</f>
        <v>BVI</v>
      </c>
      <c r="D45" t="str">
        <f>tbl_data[[#This Row],[Industry]]</f>
        <v>Logistics</v>
      </c>
      <c r="E45">
        <f>tbl_data[[#This Row],[Tx_Count_30D]]</f>
        <v>52</v>
      </c>
      <c r="F45">
        <f>tbl_data[[#This Row],[Total_Amount_30D]]</f>
        <v>85401</v>
      </c>
      <c r="G45">
        <f>tbl_data[[#This Row],[Avg_Tx_Count_6M]]</f>
        <v>8</v>
      </c>
      <c r="H45">
        <f>tbl_data[[#This Row],[Avg_Total_Amount_6M]]</f>
        <v>74153</v>
      </c>
      <c r="I45">
        <f>IFERROR(tbl_Data2[[#This Row],[Tx_Count_30D]]/tbl_Data2[[#This Row],[Avg_Tx_Count_6M]],0)</f>
        <v>6.5</v>
      </c>
      <c r="J45">
        <f>IFERROR(tbl_Data2[[#This Row],[Total_Amount_30D]]/tbl_Data2[[#This Row],[Avg_Total_Amount_6M]],0)</f>
        <v>1.1516863781640663</v>
      </c>
      <c r="K45">
        <f>_xlfn.XLOOKUP(tbl_Data2[[#This Row],[Country]], Geo_Map[Country], Geo_Map[Score], 5)</f>
        <v>9</v>
      </c>
      <c r="L45" cm="1">
        <f t="array" ref="L45">_xlfn.IFS(tbl_Data2[[#This Row],[Tx_Count_30D]]&lt;=5,2,tbl_Data2[[#This Row],[Tx_Count_30D]]&lt;=15,5,tbl_Data2[[#This Row],[Tx_Count_30D]]&lt;=30,7,tbl_Data2[[#This Row],[Tx_Count_30D]]&gt;30,9)</f>
        <v>9</v>
      </c>
      <c r="M45" cm="1">
        <f t="array" ref="M45">_xlfn.IFS(
tbl_Data2[[#This Row],[Total_Amount_30D]]&lt;10000,2,
tbl_Data2[[#This Row],[Total_Amount_30D]]&lt;25000,5,
tbl_Data2[[#This Row],[Total_Amount_30D]]&lt;50000,7,
tbl_Data2[[#This Row],[Total_Amount_30D]]&gt;=50000,9
)</f>
        <v>9</v>
      </c>
      <c r="N45" cm="1">
        <f t="array" ref="N45">_xlfn.IFS(
tbl_Data2[[#This Row],[Amount_Deviation]]&lt;1.5,2,
tbl_Data2[[#This Row],[Amount_Deviation]]&lt;3,6,
tbl_Data2[[#This Row],[Amount_Deviation]]&lt;6,8,
tbl_Data2[[#This Row],[Amount_Deviation]]&gt;=6,10
)</f>
        <v>2</v>
      </c>
      <c r="O45">
        <f>ROUND(
    (tbl_Data2[[#This Row],[Geo_Score]]*0.2) +
    (tbl_Data2[[#This Row],[Velocity_Score]]*0.25) +
    (tbl_Data2[[#This Row],[Volume_Score]]*0.25) +
    (tbl_Data2[[#This Row],[Deviation_Score]]*0.3),
1
)</f>
        <v>6.9</v>
      </c>
      <c r="P45" t="str" cm="1">
        <f t="array" ref="P45">_xlfn.IFS(
tbl_Data2[[#This Row],[Final_Risk_Score]]&lt;5.5,"Low",
tbl_Data2[[#This Row],[Final_Risk_Score]]&lt;7.5,"Medium",
tbl_Data2[[#This Row],[Final_Risk_Score]]&gt;=7.5,"High"
)</f>
        <v>Medium</v>
      </c>
      <c r="Q45" t="str" cm="1">
        <f t="array" ref="Q45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46" spans="1:17">
      <c r="A46" t="str">
        <f>tbl_data[[#This Row],[Customer_ID]]</f>
        <v>CUST-045</v>
      </c>
      <c r="B46" t="str">
        <f>tbl_data[[#This Row],[Customer_Type]]</f>
        <v>Business</v>
      </c>
      <c r="C46" t="str">
        <f>tbl_data[[#This Row],[Country]]</f>
        <v>Cyprus</v>
      </c>
      <c r="D46" t="str">
        <f>tbl_data[[#This Row],[Industry]]</f>
        <v>IT Services</v>
      </c>
      <c r="E46">
        <f>tbl_data[[#This Row],[Tx_Count_30D]]</f>
        <v>25</v>
      </c>
      <c r="F46">
        <f>tbl_data[[#This Row],[Total_Amount_30D]]</f>
        <v>6619</v>
      </c>
      <c r="G46">
        <f>tbl_data[[#This Row],[Avg_Tx_Count_6M]]</f>
        <v>9</v>
      </c>
      <c r="H46">
        <f>tbl_data[[#This Row],[Avg_Total_Amount_6M]]</f>
        <v>3214</v>
      </c>
      <c r="I46">
        <f>IFERROR(tbl_Data2[[#This Row],[Tx_Count_30D]]/tbl_Data2[[#This Row],[Avg_Tx_Count_6M]],0)</f>
        <v>2.7777777777777777</v>
      </c>
      <c r="J46">
        <f>IFERROR(tbl_Data2[[#This Row],[Total_Amount_30D]]/tbl_Data2[[#This Row],[Avg_Total_Amount_6M]],0)</f>
        <v>2.0594275046670814</v>
      </c>
      <c r="K46">
        <f>_xlfn.XLOOKUP(tbl_Data2[[#This Row],[Country]], Geo_Map[Country], Geo_Map[Score], 5)</f>
        <v>7</v>
      </c>
      <c r="L46" cm="1">
        <f t="array" ref="L46">_xlfn.IFS(tbl_Data2[[#This Row],[Tx_Count_30D]]&lt;=5,2,tbl_Data2[[#This Row],[Tx_Count_30D]]&lt;=15,5,tbl_Data2[[#This Row],[Tx_Count_30D]]&lt;=30,7,tbl_Data2[[#This Row],[Tx_Count_30D]]&gt;30,9)</f>
        <v>7</v>
      </c>
      <c r="M46" cm="1">
        <f t="array" ref="M46">_xlfn.IFS(
tbl_Data2[[#This Row],[Total_Amount_30D]]&lt;10000,2,
tbl_Data2[[#This Row],[Total_Amount_30D]]&lt;25000,5,
tbl_Data2[[#This Row],[Total_Amount_30D]]&lt;50000,7,
tbl_Data2[[#This Row],[Total_Amount_30D]]&gt;=50000,9
)</f>
        <v>2</v>
      </c>
      <c r="N46" cm="1">
        <f t="array" ref="N46">_xlfn.IFS(
tbl_Data2[[#This Row],[Amount_Deviation]]&lt;1.5,2,
tbl_Data2[[#This Row],[Amount_Deviation]]&lt;3,6,
tbl_Data2[[#This Row],[Amount_Deviation]]&lt;6,8,
tbl_Data2[[#This Row],[Amount_Deviation]]&gt;=6,10
)</f>
        <v>6</v>
      </c>
      <c r="O46">
        <f>ROUND(
    (tbl_Data2[[#This Row],[Geo_Score]]*0.2) +
    (tbl_Data2[[#This Row],[Velocity_Score]]*0.25) +
    (tbl_Data2[[#This Row],[Volume_Score]]*0.25) +
    (tbl_Data2[[#This Row],[Deviation_Score]]*0.3),
1
)</f>
        <v>5.5</v>
      </c>
      <c r="P46" t="str" cm="1">
        <f t="array" ref="P46">_xlfn.IFS(
tbl_Data2[[#This Row],[Final_Risk_Score]]&lt;5.5,"Low",
tbl_Data2[[#This Row],[Final_Risk_Score]]&lt;7.5,"Medium",
tbl_Data2[[#This Row],[Final_Risk_Score]]&gt;=7.5,"High"
)</f>
        <v>Medium</v>
      </c>
      <c r="Q46" t="str" cm="1">
        <f t="array" ref="Q46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47" spans="1:17">
      <c r="A47" t="str">
        <f>tbl_data[[#This Row],[Customer_ID]]</f>
        <v>CUST-046</v>
      </c>
      <c r="B47" t="str">
        <f>tbl_data[[#This Row],[Customer_Type]]</f>
        <v>Business</v>
      </c>
      <c r="C47" t="str">
        <f>tbl_data[[#This Row],[Country]]</f>
        <v>UAE</v>
      </c>
      <c r="D47" t="str">
        <f>tbl_data[[#This Row],[Industry]]</f>
        <v>Manufacturing</v>
      </c>
      <c r="E47">
        <f>tbl_data[[#This Row],[Tx_Count_30D]]</f>
        <v>50</v>
      </c>
      <c r="F47">
        <f>tbl_data[[#This Row],[Total_Amount_30D]]</f>
        <v>30522</v>
      </c>
      <c r="G47">
        <f>tbl_data[[#This Row],[Avg_Tx_Count_6M]]</f>
        <v>20</v>
      </c>
      <c r="H47">
        <f>tbl_data[[#This Row],[Avg_Total_Amount_6M]]</f>
        <v>67189</v>
      </c>
      <c r="I47">
        <f>IFERROR(tbl_Data2[[#This Row],[Tx_Count_30D]]/tbl_Data2[[#This Row],[Avg_Tx_Count_6M]],0)</f>
        <v>2.5</v>
      </c>
      <c r="J47">
        <f>IFERROR(tbl_Data2[[#This Row],[Total_Amount_30D]]/tbl_Data2[[#This Row],[Avg_Total_Amount_6M]],0)</f>
        <v>0.45427078837309681</v>
      </c>
      <c r="K47">
        <f>_xlfn.XLOOKUP(tbl_Data2[[#This Row],[Country]], Geo_Map[Country], Geo_Map[Score], 5)</f>
        <v>6</v>
      </c>
      <c r="L47" cm="1">
        <f t="array" ref="L47">_xlfn.IFS(tbl_Data2[[#This Row],[Tx_Count_30D]]&lt;=5,2,tbl_Data2[[#This Row],[Tx_Count_30D]]&lt;=15,5,tbl_Data2[[#This Row],[Tx_Count_30D]]&lt;=30,7,tbl_Data2[[#This Row],[Tx_Count_30D]]&gt;30,9)</f>
        <v>9</v>
      </c>
      <c r="M47" cm="1">
        <f t="array" ref="M47">_xlfn.IFS(
tbl_Data2[[#This Row],[Total_Amount_30D]]&lt;10000,2,
tbl_Data2[[#This Row],[Total_Amount_30D]]&lt;25000,5,
tbl_Data2[[#This Row],[Total_Amount_30D]]&lt;50000,7,
tbl_Data2[[#This Row],[Total_Amount_30D]]&gt;=50000,9
)</f>
        <v>7</v>
      </c>
      <c r="N47" cm="1">
        <f t="array" ref="N47">_xlfn.IFS(
tbl_Data2[[#This Row],[Amount_Deviation]]&lt;1.5,2,
tbl_Data2[[#This Row],[Amount_Deviation]]&lt;3,6,
tbl_Data2[[#This Row],[Amount_Deviation]]&lt;6,8,
tbl_Data2[[#This Row],[Amount_Deviation]]&gt;=6,10
)</f>
        <v>2</v>
      </c>
      <c r="O47">
        <f>ROUND(
    (tbl_Data2[[#This Row],[Geo_Score]]*0.2) +
    (tbl_Data2[[#This Row],[Velocity_Score]]*0.25) +
    (tbl_Data2[[#This Row],[Volume_Score]]*0.25) +
    (tbl_Data2[[#This Row],[Deviation_Score]]*0.3),
1
)</f>
        <v>5.8</v>
      </c>
      <c r="P47" t="str" cm="1">
        <f t="array" ref="P47">_xlfn.IFS(
tbl_Data2[[#This Row],[Final_Risk_Score]]&lt;5.5,"Low",
tbl_Data2[[#This Row],[Final_Risk_Score]]&lt;7.5,"Medium",
tbl_Data2[[#This Row],[Final_Risk_Score]]&gt;=7.5,"High"
)</f>
        <v>Medium</v>
      </c>
      <c r="Q47" t="str" cm="1">
        <f t="array" ref="Q47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48" spans="1:17" hidden="1">
      <c r="A48" t="str">
        <f>tbl_data[[#This Row],[Customer_ID]]</f>
        <v>CUST-047</v>
      </c>
      <c r="B48" t="str">
        <f>tbl_data[[#This Row],[Customer_Type]]</f>
        <v>Business</v>
      </c>
      <c r="C48" t="str">
        <f>tbl_data[[#This Row],[Country]]</f>
        <v>Panama</v>
      </c>
      <c r="D48" t="str">
        <f>tbl_data[[#This Row],[Industry]]</f>
        <v>Consulting</v>
      </c>
      <c r="E48">
        <f>tbl_data[[#This Row],[Tx_Count_30D]]</f>
        <v>39</v>
      </c>
      <c r="F48">
        <f>tbl_data[[#This Row],[Total_Amount_30D]]</f>
        <v>28977</v>
      </c>
      <c r="G48">
        <f>tbl_data[[#This Row],[Avg_Tx_Count_6M]]</f>
        <v>9</v>
      </c>
      <c r="H48">
        <f>tbl_data[[#This Row],[Avg_Total_Amount_6M]]</f>
        <v>8708</v>
      </c>
      <c r="I48">
        <f>IFERROR(tbl_Data2[[#This Row],[Tx_Count_30D]]/tbl_Data2[[#This Row],[Avg_Tx_Count_6M]],0)</f>
        <v>4.333333333333333</v>
      </c>
      <c r="J48">
        <f>IFERROR(tbl_Data2[[#This Row],[Total_Amount_30D]]/tbl_Data2[[#This Row],[Avg_Total_Amount_6M]],0)</f>
        <v>3.3276297657326595</v>
      </c>
      <c r="K48">
        <f>_xlfn.XLOOKUP(tbl_Data2[[#This Row],[Country]], Geo_Map[Country], Geo_Map[Score], 5)</f>
        <v>8</v>
      </c>
      <c r="L48" cm="1">
        <f t="array" ref="L48">_xlfn.IFS(tbl_Data2[[#This Row],[Tx_Count_30D]]&lt;=5,2,tbl_Data2[[#This Row],[Tx_Count_30D]]&lt;=15,5,tbl_Data2[[#This Row],[Tx_Count_30D]]&lt;=30,7,tbl_Data2[[#This Row],[Tx_Count_30D]]&gt;30,9)</f>
        <v>9</v>
      </c>
      <c r="M48" cm="1">
        <f t="array" ref="M48">_xlfn.IFS(
tbl_Data2[[#This Row],[Total_Amount_30D]]&lt;10000,2,
tbl_Data2[[#This Row],[Total_Amount_30D]]&lt;25000,5,
tbl_Data2[[#This Row],[Total_Amount_30D]]&lt;50000,7,
tbl_Data2[[#This Row],[Total_Amount_30D]]&gt;=50000,9
)</f>
        <v>7</v>
      </c>
      <c r="N48" cm="1">
        <f t="array" ref="N48">_xlfn.IFS(
tbl_Data2[[#This Row],[Amount_Deviation]]&lt;1.5,2,
tbl_Data2[[#This Row],[Amount_Deviation]]&lt;3,6,
tbl_Data2[[#This Row],[Amount_Deviation]]&lt;6,8,
tbl_Data2[[#This Row],[Amount_Deviation]]&gt;=6,10
)</f>
        <v>8</v>
      </c>
      <c r="O48">
        <f>ROUND(
    (tbl_Data2[[#This Row],[Geo_Score]]*0.2) +
    (tbl_Data2[[#This Row],[Velocity_Score]]*0.25) +
    (tbl_Data2[[#This Row],[Volume_Score]]*0.25) +
    (tbl_Data2[[#This Row],[Deviation_Score]]*0.3),
1
)</f>
        <v>8</v>
      </c>
      <c r="P48" t="str" cm="1">
        <f t="array" ref="P48">_xlfn.IFS(
tbl_Data2[[#This Row],[Final_Risk_Score]]&lt;5.5,"Low",
tbl_Data2[[#This Row],[Final_Risk_Score]]&lt;7.5,"Medium",
tbl_Data2[[#This Row],[Final_Risk_Score]]&gt;=7.5,"High"
)</f>
        <v>High</v>
      </c>
      <c r="Q48" t="str" cm="1">
        <f t="array" ref="Q48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49" spans="1:17" hidden="1">
      <c r="A49" t="str">
        <f>tbl_data[[#This Row],[Customer_ID]]</f>
        <v>CUST-048</v>
      </c>
      <c r="B49" t="str">
        <f>tbl_data[[#This Row],[Customer_Type]]</f>
        <v>Business</v>
      </c>
      <c r="C49" t="str">
        <f>tbl_data[[#This Row],[Country]]</f>
        <v>Seychelles</v>
      </c>
      <c r="D49" t="str">
        <f>tbl_data[[#This Row],[Industry]]</f>
        <v>IT Services</v>
      </c>
      <c r="E49">
        <f>tbl_data[[#This Row],[Tx_Count_30D]]</f>
        <v>15</v>
      </c>
      <c r="F49">
        <f>tbl_data[[#This Row],[Total_Amount_30D]]</f>
        <v>62634</v>
      </c>
      <c r="G49">
        <f>tbl_data[[#This Row],[Avg_Tx_Count_6M]]</f>
        <v>27</v>
      </c>
      <c r="H49">
        <f>tbl_data[[#This Row],[Avg_Total_Amount_6M]]</f>
        <v>15536</v>
      </c>
      <c r="I49">
        <f>IFERROR(tbl_Data2[[#This Row],[Tx_Count_30D]]/tbl_Data2[[#This Row],[Avg_Tx_Count_6M]],0)</f>
        <v>0.55555555555555558</v>
      </c>
      <c r="J49">
        <f>IFERROR(tbl_Data2[[#This Row],[Total_Amount_30D]]/tbl_Data2[[#This Row],[Avg_Total_Amount_6M]],0)</f>
        <v>4.03153964984552</v>
      </c>
      <c r="K49">
        <f>_xlfn.XLOOKUP(tbl_Data2[[#This Row],[Country]], Geo_Map[Country], Geo_Map[Score], 5)</f>
        <v>9</v>
      </c>
      <c r="L49" cm="1">
        <f t="array" ref="L49">_xlfn.IFS(tbl_Data2[[#This Row],[Tx_Count_30D]]&lt;=5,2,tbl_Data2[[#This Row],[Tx_Count_30D]]&lt;=15,5,tbl_Data2[[#This Row],[Tx_Count_30D]]&lt;=30,7,tbl_Data2[[#This Row],[Tx_Count_30D]]&gt;30,9)</f>
        <v>5</v>
      </c>
      <c r="M49" cm="1">
        <f t="array" ref="M49">_xlfn.IFS(
tbl_Data2[[#This Row],[Total_Amount_30D]]&lt;10000,2,
tbl_Data2[[#This Row],[Total_Amount_30D]]&lt;25000,5,
tbl_Data2[[#This Row],[Total_Amount_30D]]&lt;50000,7,
tbl_Data2[[#This Row],[Total_Amount_30D]]&gt;=50000,9
)</f>
        <v>9</v>
      </c>
      <c r="N49" cm="1">
        <f t="array" ref="N49">_xlfn.IFS(
tbl_Data2[[#This Row],[Amount_Deviation]]&lt;1.5,2,
tbl_Data2[[#This Row],[Amount_Deviation]]&lt;3,6,
tbl_Data2[[#This Row],[Amount_Deviation]]&lt;6,8,
tbl_Data2[[#This Row],[Amount_Deviation]]&gt;=6,10
)</f>
        <v>8</v>
      </c>
      <c r="O49">
        <f>ROUND(
    (tbl_Data2[[#This Row],[Geo_Score]]*0.2) +
    (tbl_Data2[[#This Row],[Velocity_Score]]*0.25) +
    (tbl_Data2[[#This Row],[Volume_Score]]*0.25) +
    (tbl_Data2[[#This Row],[Deviation_Score]]*0.3),
1
)</f>
        <v>7.7</v>
      </c>
      <c r="P49" t="str" cm="1">
        <f t="array" ref="P49">_xlfn.IFS(
tbl_Data2[[#This Row],[Final_Risk_Score]]&lt;5.5,"Low",
tbl_Data2[[#This Row],[Final_Risk_Score]]&lt;7.5,"Medium",
tbl_Data2[[#This Row],[Final_Risk_Score]]&gt;=7.5,"High"
)</f>
        <v>High</v>
      </c>
      <c r="Q49" t="str" cm="1">
        <f t="array" ref="Q49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50" spans="1:17">
      <c r="A50" t="str">
        <f>tbl_data[[#This Row],[Customer_ID]]</f>
        <v>CUST-049</v>
      </c>
      <c r="B50" t="str">
        <f>tbl_data[[#This Row],[Customer_Type]]</f>
        <v>Business</v>
      </c>
      <c r="C50" t="str">
        <f>tbl_data[[#This Row],[Country]]</f>
        <v>UAE</v>
      </c>
      <c r="D50" t="str">
        <f>tbl_data[[#This Row],[Industry]]</f>
        <v>Logistics</v>
      </c>
      <c r="E50">
        <f>tbl_data[[#This Row],[Tx_Count_30D]]</f>
        <v>4</v>
      </c>
      <c r="F50">
        <f>tbl_data[[#This Row],[Total_Amount_30D]]</f>
        <v>116801</v>
      </c>
      <c r="G50">
        <f>tbl_data[[#This Row],[Avg_Tx_Count_6M]]</f>
        <v>12</v>
      </c>
      <c r="H50">
        <f>tbl_data[[#This Row],[Avg_Total_Amount_6M]]</f>
        <v>49158</v>
      </c>
      <c r="I50">
        <f>IFERROR(tbl_Data2[[#This Row],[Tx_Count_30D]]/tbl_Data2[[#This Row],[Avg_Tx_Count_6M]],0)</f>
        <v>0.33333333333333331</v>
      </c>
      <c r="J50">
        <f>IFERROR(tbl_Data2[[#This Row],[Total_Amount_30D]]/tbl_Data2[[#This Row],[Avg_Total_Amount_6M]],0)</f>
        <v>2.3760323853696246</v>
      </c>
      <c r="K50">
        <f>_xlfn.XLOOKUP(tbl_Data2[[#This Row],[Country]], Geo_Map[Country], Geo_Map[Score], 5)</f>
        <v>6</v>
      </c>
      <c r="L50" cm="1">
        <f t="array" ref="L50">_xlfn.IFS(tbl_Data2[[#This Row],[Tx_Count_30D]]&lt;=5,2,tbl_Data2[[#This Row],[Tx_Count_30D]]&lt;=15,5,tbl_Data2[[#This Row],[Tx_Count_30D]]&lt;=30,7,tbl_Data2[[#This Row],[Tx_Count_30D]]&gt;30,9)</f>
        <v>2</v>
      </c>
      <c r="M50" cm="1">
        <f t="array" ref="M50">_xlfn.IFS(
tbl_Data2[[#This Row],[Total_Amount_30D]]&lt;10000,2,
tbl_Data2[[#This Row],[Total_Amount_30D]]&lt;25000,5,
tbl_Data2[[#This Row],[Total_Amount_30D]]&lt;50000,7,
tbl_Data2[[#This Row],[Total_Amount_30D]]&gt;=50000,9
)</f>
        <v>9</v>
      </c>
      <c r="N50" cm="1">
        <f t="array" ref="N50">_xlfn.IFS(
tbl_Data2[[#This Row],[Amount_Deviation]]&lt;1.5,2,
tbl_Data2[[#This Row],[Amount_Deviation]]&lt;3,6,
tbl_Data2[[#This Row],[Amount_Deviation]]&lt;6,8,
tbl_Data2[[#This Row],[Amount_Deviation]]&gt;=6,10
)</f>
        <v>6</v>
      </c>
      <c r="O50">
        <f>ROUND(
    (tbl_Data2[[#This Row],[Geo_Score]]*0.2) +
    (tbl_Data2[[#This Row],[Velocity_Score]]*0.25) +
    (tbl_Data2[[#This Row],[Volume_Score]]*0.25) +
    (tbl_Data2[[#This Row],[Deviation_Score]]*0.3),
1
)</f>
        <v>5.8</v>
      </c>
      <c r="P50" t="str" cm="1">
        <f t="array" ref="P50">_xlfn.IFS(
tbl_Data2[[#This Row],[Final_Risk_Score]]&lt;5.5,"Low",
tbl_Data2[[#This Row],[Final_Risk_Score]]&lt;7.5,"Medium",
tbl_Data2[[#This Row],[Final_Risk_Score]]&gt;=7.5,"High"
)</f>
        <v>Medium</v>
      </c>
      <c r="Q50" t="str" cm="1">
        <f t="array" ref="Q50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51" spans="1:17">
      <c r="A51" t="str">
        <f>tbl_data[[#This Row],[Customer_ID]]</f>
        <v>CUST-050</v>
      </c>
      <c r="B51" t="str">
        <f>tbl_data[[#This Row],[Customer_Type]]</f>
        <v>Business</v>
      </c>
      <c r="C51" t="str">
        <f>tbl_data[[#This Row],[Country]]</f>
        <v>Panama</v>
      </c>
      <c r="D51" t="str">
        <f>tbl_data[[#This Row],[Industry]]</f>
        <v>Consulting</v>
      </c>
      <c r="E51">
        <f>tbl_data[[#This Row],[Tx_Count_30D]]</f>
        <v>2</v>
      </c>
      <c r="F51">
        <f>tbl_data[[#This Row],[Total_Amount_30D]]</f>
        <v>109044</v>
      </c>
      <c r="G51">
        <f>tbl_data[[#This Row],[Avg_Tx_Count_6M]]</f>
        <v>27</v>
      </c>
      <c r="H51">
        <f>tbl_data[[#This Row],[Avg_Total_Amount_6M]]</f>
        <v>29734</v>
      </c>
      <c r="I51">
        <f>IFERROR(tbl_Data2[[#This Row],[Tx_Count_30D]]/tbl_Data2[[#This Row],[Avg_Tx_Count_6M]],0)</f>
        <v>7.407407407407407E-2</v>
      </c>
      <c r="J51">
        <f>IFERROR(tbl_Data2[[#This Row],[Total_Amount_30D]]/tbl_Data2[[#This Row],[Avg_Total_Amount_6M]],0)</f>
        <v>3.667316876303222</v>
      </c>
      <c r="K51">
        <f>_xlfn.XLOOKUP(tbl_Data2[[#This Row],[Country]], Geo_Map[Country], Geo_Map[Score], 5)</f>
        <v>8</v>
      </c>
      <c r="L51" cm="1">
        <f t="array" ref="L51">_xlfn.IFS(tbl_Data2[[#This Row],[Tx_Count_30D]]&lt;=5,2,tbl_Data2[[#This Row],[Tx_Count_30D]]&lt;=15,5,tbl_Data2[[#This Row],[Tx_Count_30D]]&lt;=30,7,tbl_Data2[[#This Row],[Tx_Count_30D]]&gt;30,9)</f>
        <v>2</v>
      </c>
      <c r="M51" cm="1">
        <f t="array" ref="M51">_xlfn.IFS(
tbl_Data2[[#This Row],[Total_Amount_30D]]&lt;10000,2,
tbl_Data2[[#This Row],[Total_Amount_30D]]&lt;25000,5,
tbl_Data2[[#This Row],[Total_Amount_30D]]&lt;50000,7,
tbl_Data2[[#This Row],[Total_Amount_30D]]&gt;=50000,9
)</f>
        <v>9</v>
      </c>
      <c r="N51" cm="1">
        <f t="array" ref="N51">_xlfn.IFS(
tbl_Data2[[#This Row],[Amount_Deviation]]&lt;1.5,2,
tbl_Data2[[#This Row],[Amount_Deviation]]&lt;3,6,
tbl_Data2[[#This Row],[Amount_Deviation]]&lt;6,8,
tbl_Data2[[#This Row],[Amount_Deviation]]&gt;=6,10
)</f>
        <v>8</v>
      </c>
      <c r="O51">
        <f>ROUND(
    (tbl_Data2[[#This Row],[Geo_Score]]*0.2) +
    (tbl_Data2[[#This Row],[Velocity_Score]]*0.25) +
    (tbl_Data2[[#This Row],[Volume_Score]]*0.25) +
    (tbl_Data2[[#This Row],[Deviation_Score]]*0.3),
1
)</f>
        <v>6.8</v>
      </c>
      <c r="P51" t="str" cm="1">
        <f t="array" ref="P51">_xlfn.IFS(
tbl_Data2[[#This Row],[Final_Risk_Score]]&lt;5.5,"Low",
tbl_Data2[[#This Row],[Final_Risk_Score]]&lt;7.5,"Medium",
tbl_Data2[[#This Row],[Final_Risk_Score]]&gt;=7.5,"High"
)</f>
        <v>Medium</v>
      </c>
      <c r="Q51" t="str" cm="1">
        <f t="array" ref="Q51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52" spans="1:17" hidden="1">
      <c r="A52" t="str">
        <f>tbl_data[[#This Row],[Customer_ID]]</f>
        <v>CUST-051</v>
      </c>
      <c r="B52" t="str">
        <f>tbl_data[[#This Row],[Customer_Type]]</f>
        <v>Business</v>
      </c>
      <c r="C52" t="str">
        <f>tbl_data[[#This Row],[Country]]</f>
        <v>UAE</v>
      </c>
      <c r="D52" t="str">
        <f>tbl_data[[#This Row],[Industry]]</f>
        <v>Consulting</v>
      </c>
      <c r="E52">
        <f>tbl_data[[#This Row],[Tx_Count_30D]]</f>
        <v>33</v>
      </c>
      <c r="F52">
        <f>tbl_data[[#This Row],[Total_Amount_30D]]</f>
        <v>4665</v>
      </c>
      <c r="G52">
        <f>tbl_data[[#This Row],[Avg_Tx_Count_6M]]</f>
        <v>28</v>
      </c>
      <c r="H52">
        <f>tbl_data[[#This Row],[Avg_Total_Amount_6M]]</f>
        <v>62935</v>
      </c>
      <c r="I52">
        <f>IFERROR(tbl_Data2[[#This Row],[Tx_Count_30D]]/tbl_Data2[[#This Row],[Avg_Tx_Count_6M]],0)</f>
        <v>1.1785714285714286</v>
      </c>
      <c r="J52">
        <f>IFERROR(tbl_Data2[[#This Row],[Total_Amount_30D]]/tbl_Data2[[#This Row],[Avg_Total_Amount_6M]],0)</f>
        <v>7.4124096289822833E-2</v>
      </c>
      <c r="K52">
        <f>_xlfn.XLOOKUP(tbl_Data2[[#This Row],[Country]], Geo_Map[Country], Geo_Map[Score], 5)</f>
        <v>6</v>
      </c>
      <c r="L52" cm="1">
        <f t="array" ref="L52">_xlfn.IFS(tbl_Data2[[#This Row],[Tx_Count_30D]]&lt;=5,2,tbl_Data2[[#This Row],[Tx_Count_30D]]&lt;=15,5,tbl_Data2[[#This Row],[Tx_Count_30D]]&lt;=30,7,tbl_Data2[[#This Row],[Tx_Count_30D]]&gt;30,9)</f>
        <v>9</v>
      </c>
      <c r="M52" cm="1">
        <f t="array" ref="M52">_xlfn.IFS(
tbl_Data2[[#This Row],[Total_Amount_30D]]&lt;10000,2,
tbl_Data2[[#This Row],[Total_Amount_30D]]&lt;25000,5,
tbl_Data2[[#This Row],[Total_Amount_30D]]&lt;50000,7,
tbl_Data2[[#This Row],[Total_Amount_30D]]&gt;=50000,9
)</f>
        <v>2</v>
      </c>
      <c r="N52" cm="1">
        <f t="array" ref="N52">_xlfn.IFS(
tbl_Data2[[#This Row],[Amount_Deviation]]&lt;1.5,2,
tbl_Data2[[#This Row],[Amount_Deviation]]&lt;3,6,
tbl_Data2[[#This Row],[Amount_Deviation]]&lt;6,8,
tbl_Data2[[#This Row],[Amount_Deviation]]&gt;=6,10
)</f>
        <v>2</v>
      </c>
      <c r="O52">
        <f>ROUND(
    (tbl_Data2[[#This Row],[Geo_Score]]*0.2) +
    (tbl_Data2[[#This Row],[Velocity_Score]]*0.25) +
    (tbl_Data2[[#This Row],[Volume_Score]]*0.25) +
    (tbl_Data2[[#This Row],[Deviation_Score]]*0.3),
1
)</f>
        <v>4.5999999999999996</v>
      </c>
      <c r="P52" t="str" cm="1">
        <f t="array" ref="P52">_xlfn.IFS(
tbl_Data2[[#This Row],[Final_Risk_Score]]&lt;5.5,"Low",
tbl_Data2[[#This Row],[Final_Risk_Score]]&lt;7.5,"Medium",
tbl_Data2[[#This Row],[Final_Risk_Score]]&gt;=7.5,"High"
)</f>
        <v>Low</v>
      </c>
      <c r="Q52" t="str" cm="1">
        <f t="array" ref="Q52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53" spans="1:17">
      <c r="A53" t="str">
        <f>tbl_data[[#This Row],[Customer_ID]]</f>
        <v>CUST-052</v>
      </c>
      <c r="B53" t="str">
        <f>tbl_data[[#This Row],[Customer_Type]]</f>
        <v>Business</v>
      </c>
      <c r="C53" t="str">
        <f>tbl_data[[#This Row],[Country]]</f>
        <v>USA</v>
      </c>
      <c r="D53" t="str">
        <f>tbl_data[[#This Row],[Industry]]</f>
        <v>Logistics</v>
      </c>
      <c r="E53">
        <f>tbl_data[[#This Row],[Tx_Count_30D]]</f>
        <v>7</v>
      </c>
      <c r="F53">
        <f>tbl_data[[#This Row],[Total_Amount_30D]]</f>
        <v>92999</v>
      </c>
      <c r="G53">
        <f>tbl_data[[#This Row],[Avg_Tx_Count_6M]]</f>
        <v>27</v>
      </c>
      <c r="H53">
        <f>tbl_data[[#This Row],[Avg_Total_Amount_6M]]</f>
        <v>13221</v>
      </c>
      <c r="I53">
        <f>IFERROR(tbl_Data2[[#This Row],[Tx_Count_30D]]/tbl_Data2[[#This Row],[Avg_Tx_Count_6M]],0)</f>
        <v>0.25925925925925924</v>
      </c>
      <c r="J53">
        <f>IFERROR(tbl_Data2[[#This Row],[Total_Amount_30D]]/tbl_Data2[[#This Row],[Avg_Total_Amount_6M]],0)</f>
        <v>7.0341880341880341</v>
      </c>
      <c r="K53">
        <f>_xlfn.XLOOKUP(tbl_Data2[[#This Row],[Country]], Geo_Map[Country], Geo_Map[Score], 5)</f>
        <v>1</v>
      </c>
      <c r="L53" cm="1">
        <f t="array" ref="L53">_xlfn.IFS(tbl_Data2[[#This Row],[Tx_Count_30D]]&lt;=5,2,tbl_Data2[[#This Row],[Tx_Count_30D]]&lt;=15,5,tbl_Data2[[#This Row],[Tx_Count_30D]]&lt;=30,7,tbl_Data2[[#This Row],[Tx_Count_30D]]&gt;30,9)</f>
        <v>5</v>
      </c>
      <c r="M53" cm="1">
        <f t="array" ref="M53">_xlfn.IFS(
tbl_Data2[[#This Row],[Total_Amount_30D]]&lt;10000,2,
tbl_Data2[[#This Row],[Total_Amount_30D]]&lt;25000,5,
tbl_Data2[[#This Row],[Total_Amount_30D]]&lt;50000,7,
tbl_Data2[[#This Row],[Total_Amount_30D]]&gt;=50000,9
)</f>
        <v>9</v>
      </c>
      <c r="N53" cm="1">
        <f t="array" ref="N53">_xlfn.IFS(
tbl_Data2[[#This Row],[Amount_Deviation]]&lt;1.5,2,
tbl_Data2[[#This Row],[Amount_Deviation]]&lt;3,6,
tbl_Data2[[#This Row],[Amount_Deviation]]&lt;6,8,
tbl_Data2[[#This Row],[Amount_Deviation]]&gt;=6,10
)</f>
        <v>10</v>
      </c>
      <c r="O53">
        <f>ROUND(
    (tbl_Data2[[#This Row],[Geo_Score]]*0.2) +
    (tbl_Data2[[#This Row],[Velocity_Score]]*0.25) +
    (tbl_Data2[[#This Row],[Volume_Score]]*0.25) +
    (tbl_Data2[[#This Row],[Deviation_Score]]*0.3),
1
)</f>
        <v>6.7</v>
      </c>
      <c r="P53" t="str" cm="1">
        <f t="array" ref="P53">_xlfn.IFS(
tbl_Data2[[#This Row],[Final_Risk_Score]]&lt;5.5,"Low",
tbl_Data2[[#This Row],[Final_Risk_Score]]&lt;7.5,"Medium",
tbl_Data2[[#This Row],[Final_Risk_Score]]&gt;=7.5,"High"
)</f>
        <v>Medium</v>
      </c>
      <c r="Q53" t="str" cm="1">
        <f t="array" ref="Q53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54" spans="1:17">
      <c r="A54" t="str">
        <f>tbl_data[[#This Row],[Customer_ID]]</f>
        <v>CUST-053</v>
      </c>
      <c r="B54" t="str">
        <f>tbl_data[[#This Row],[Customer_Type]]</f>
        <v>Business</v>
      </c>
      <c r="C54" t="str">
        <f>tbl_data[[#This Row],[Country]]</f>
        <v>Cyprus</v>
      </c>
      <c r="D54" t="str">
        <f>tbl_data[[#This Row],[Industry]]</f>
        <v>Trading</v>
      </c>
      <c r="E54">
        <f>tbl_data[[#This Row],[Tx_Count_30D]]</f>
        <v>17</v>
      </c>
      <c r="F54">
        <f>tbl_data[[#This Row],[Total_Amount_30D]]</f>
        <v>57952</v>
      </c>
      <c r="G54">
        <f>tbl_data[[#This Row],[Avg_Tx_Count_6M]]</f>
        <v>5</v>
      </c>
      <c r="H54">
        <f>tbl_data[[#This Row],[Avg_Total_Amount_6M]]</f>
        <v>29976</v>
      </c>
      <c r="I54">
        <f>IFERROR(tbl_Data2[[#This Row],[Tx_Count_30D]]/tbl_Data2[[#This Row],[Avg_Tx_Count_6M]],0)</f>
        <v>3.4</v>
      </c>
      <c r="J54">
        <f>IFERROR(tbl_Data2[[#This Row],[Total_Amount_30D]]/tbl_Data2[[#This Row],[Avg_Total_Amount_6M]],0)</f>
        <v>1.9332799572991726</v>
      </c>
      <c r="K54">
        <f>_xlfn.XLOOKUP(tbl_Data2[[#This Row],[Country]], Geo_Map[Country], Geo_Map[Score], 5)</f>
        <v>7</v>
      </c>
      <c r="L54" cm="1">
        <f t="array" ref="L54">_xlfn.IFS(tbl_Data2[[#This Row],[Tx_Count_30D]]&lt;=5,2,tbl_Data2[[#This Row],[Tx_Count_30D]]&lt;=15,5,tbl_Data2[[#This Row],[Tx_Count_30D]]&lt;=30,7,tbl_Data2[[#This Row],[Tx_Count_30D]]&gt;30,9)</f>
        <v>7</v>
      </c>
      <c r="M54" cm="1">
        <f t="array" ref="M54">_xlfn.IFS(
tbl_Data2[[#This Row],[Total_Amount_30D]]&lt;10000,2,
tbl_Data2[[#This Row],[Total_Amount_30D]]&lt;25000,5,
tbl_Data2[[#This Row],[Total_Amount_30D]]&lt;50000,7,
tbl_Data2[[#This Row],[Total_Amount_30D]]&gt;=50000,9
)</f>
        <v>9</v>
      </c>
      <c r="N54" cm="1">
        <f t="array" ref="N54">_xlfn.IFS(
tbl_Data2[[#This Row],[Amount_Deviation]]&lt;1.5,2,
tbl_Data2[[#This Row],[Amount_Deviation]]&lt;3,6,
tbl_Data2[[#This Row],[Amount_Deviation]]&lt;6,8,
tbl_Data2[[#This Row],[Amount_Deviation]]&gt;=6,10
)</f>
        <v>6</v>
      </c>
      <c r="O54">
        <f>ROUND(
    (tbl_Data2[[#This Row],[Geo_Score]]*0.2) +
    (tbl_Data2[[#This Row],[Velocity_Score]]*0.25) +
    (tbl_Data2[[#This Row],[Volume_Score]]*0.25) +
    (tbl_Data2[[#This Row],[Deviation_Score]]*0.3),
1
)</f>
        <v>7.2</v>
      </c>
      <c r="P54" t="str" cm="1">
        <f t="array" ref="P54">_xlfn.IFS(
tbl_Data2[[#This Row],[Final_Risk_Score]]&lt;5.5,"Low",
tbl_Data2[[#This Row],[Final_Risk_Score]]&lt;7.5,"Medium",
tbl_Data2[[#This Row],[Final_Risk_Score]]&gt;=7.5,"High"
)</f>
        <v>Medium</v>
      </c>
      <c r="Q54" t="str" cm="1">
        <f t="array" ref="Q54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55" spans="1:17" hidden="1">
      <c r="A55" t="str">
        <f>tbl_data[[#This Row],[Customer_ID]]</f>
        <v>CUST-054</v>
      </c>
      <c r="B55" t="str">
        <f>tbl_data[[#This Row],[Customer_Type]]</f>
        <v>Business</v>
      </c>
      <c r="C55" t="str">
        <f>tbl_data[[#This Row],[Country]]</f>
        <v>USA</v>
      </c>
      <c r="D55" t="str">
        <f>tbl_data[[#This Row],[Industry]]</f>
        <v>IT Services</v>
      </c>
      <c r="E55">
        <f>tbl_data[[#This Row],[Tx_Count_30D]]</f>
        <v>3</v>
      </c>
      <c r="F55">
        <f>tbl_data[[#This Row],[Total_Amount_30D]]</f>
        <v>36891</v>
      </c>
      <c r="G55">
        <f>tbl_data[[#This Row],[Avg_Tx_Count_6M]]</f>
        <v>14</v>
      </c>
      <c r="H55">
        <f>tbl_data[[#This Row],[Avg_Total_Amount_6M]]</f>
        <v>13782</v>
      </c>
      <c r="I55">
        <f>IFERROR(tbl_Data2[[#This Row],[Tx_Count_30D]]/tbl_Data2[[#This Row],[Avg_Tx_Count_6M]],0)</f>
        <v>0.21428571428571427</v>
      </c>
      <c r="J55">
        <f>IFERROR(tbl_Data2[[#This Row],[Total_Amount_30D]]/tbl_Data2[[#This Row],[Avg_Total_Amount_6M]],0)</f>
        <v>2.6767522855898997</v>
      </c>
      <c r="K55">
        <f>_xlfn.XLOOKUP(tbl_Data2[[#This Row],[Country]], Geo_Map[Country], Geo_Map[Score], 5)</f>
        <v>1</v>
      </c>
      <c r="L55" cm="1">
        <f t="array" ref="L55">_xlfn.IFS(tbl_Data2[[#This Row],[Tx_Count_30D]]&lt;=5,2,tbl_Data2[[#This Row],[Tx_Count_30D]]&lt;=15,5,tbl_Data2[[#This Row],[Tx_Count_30D]]&lt;=30,7,tbl_Data2[[#This Row],[Tx_Count_30D]]&gt;30,9)</f>
        <v>2</v>
      </c>
      <c r="M55" cm="1">
        <f t="array" ref="M55">_xlfn.IFS(
tbl_Data2[[#This Row],[Total_Amount_30D]]&lt;10000,2,
tbl_Data2[[#This Row],[Total_Amount_30D]]&lt;25000,5,
tbl_Data2[[#This Row],[Total_Amount_30D]]&lt;50000,7,
tbl_Data2[[#This Row],[Total_Amount_30D]]&gt;=50000,9
)</f>
        <v>7</v>
      </c>
      <c r="N55" cm="1">
        <f t="array" ref="N55">_xlfn.IFS(
tbl_Data2[[#This Row],[Amount_Deviation]]&lt;1.5,2,
tbl_Data2[[#This Row],[Amount_Deviation]]&lt;3,6,
tbl_Data2[[#This Row],[Amount_Deviation]]&lt;6,8,
tbl_Data2[[#This Row],[Amount_Deviation]]&gt;=6,10
)</f>
        <v>6</v>
      </c>
      <c r="O55">
        <f>ROUND(
    (tbl_Data2[[#This Row],[Geo_Score]]*0.2) +
    (tbl_Data2[[#This Row],[Velocity_Score]]*0.25) +
    (tbl_Data2[[#This Row],[Volume_Score]]*0.25) +
    (tbl_Data2[[#This Row],[Deviation_Score]]*0.3),
1
)</f>
        <v>4.3</v>
      </c>
      <c r="P55" t="str" cm="1">
        <f t="array" ref="P55">_xlfn.IFS(
tbl_Data2[[#This Row],[Final_Risk_Score]]&lt;5.5,"Low",
tbl_Data2[[#This Row],[Final_Risk_Score]]&lt;7.5,"Medium",
tbl_Data2[[#This Row],[Final_Risk_Score]]&gt;=7.5,"High"
)</f>
        <v>Low</v>
      </c>
      <c r="Q55" t="str" cm="1">
        <f t="array" ref="Q55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56" spans="1:17" hidden="1">
      <c r="A56" t="str">
        <f>tbl_data[[#This Row],[Customer_ID]]</f>
        <v>CUST-055</v>
      </c>
      <c r="B56" t="str">
        <f>tbl_data[[#This Row],[Customer_Type]]</f>
        <v>Business</v>
      </c>
      <c r="C56" t="str">
        <f>tbl_data[[#This Row],[Country]]</f>
        <v>Panama</v>
      </c>
      <c r="D56" t="str">
        <f>tbl_data[[#This Row],[Industry]]</f>
        <v>Logistics</v>
      </c>
      <c r="E56">
        <f>tbl_data[[#This Row],[Tx_Count_30D]]</f>
        <v>3</v>
      </c>
      <c r="F56">
        <f>tbl_data[[#This Row],[Total_Amount_30D]]</f>
        <v>35014</v>
      </c>
      <c r="G56">
        <f>tbl_data[[#This Row],[Avg_Tx_Count_6M]]</f>
        <v>20</v>
      </c>
      <c r="H56">
        <f>tbl_data[[#This Row],[Avg_Total_Amount_6M]]</f>
        <v>24320</v>
      </c>
      <c r="I56">
        <f>IFERROR(tbl_Data2[[#This Row],[Tx_Count_30D]]/tbl_Data2[[#This Row],[Avg_Tx_Count_6M]],0)</f>
        <v>0.15</v>
      </c>
      <c r="J56">
        <f>IFERROR(tbl_Data2[[#This Row],[Total_Amount_30D]]/tbl_Data2[[#This Row],[Avg_Total_Amount_6M]],0)</f>
        <v>1.4397203947368422</v>
      </c>
      <c r="K56">
        <f>_xlfn.XLOOKUP(tbl_Data2[[#This Row],[Country]], Geo_Map[Country], Geo_Map[Score], 5)</f>
        <v>8</v>
      </c>
      <c r="L56" cm="1">
        <f t="array" ref="L56">_xlfn.IFS(tbl_Data2[[#This Row],[Tx_Count_30D]]&lt;=5,2,tbl_Data2[[#This Row],[Tx_Count_30D]]&lt;=15,5,tbl_Data2[[#This Row],[Tx_Count_30D]]&lt;=30,7,tbl_Data2[[#This Row],[Tx_Count_30D]]&gt;30,9)</f>
        <v>2</v>
      </c>
      <c r="M56" cm="1">
        <f t="array" ref="M56">_xlfn.IFS(
tbl_Data2[[#This Row],[Total_Amount_30D]]&lt;10000,2,
tbl_Data2[[#This Row],[Total_Amount_30D]]&lt;25000,5,
tbl_Data2[[#This Row],[Total_Amount_30D]]&lt;50000,7,
tbl_Data2[[#This Row],[Total_Amount_30D]]&gt;=50000,9
)</f>
        <v>7</v>
      </c>
      <c r="N56" cm="1">
        <f t="array" ref="N56">_xlfn.IFS(
tbl_Data2[[#This Row],[Amount_Deviation]]&lt;1.5,2,
tbl_Data2[[#This Row],[Amount_Deviation]]&lt;3,6,
tbl_Data2[[#This Row],[Amount_Deviation]]&lt;6,8,
tbl_Data2[[#This Row],[Amount_Deviation]]&gt;=6,10
)</f>
        <v>2</v>
      </c>
      <c r="O56">
        <f>ROUND(
    (tbl_Data2[[#This Row],[Geo_Score]]*0.2) +
    (tbl_Data2[[#This Row],[Velocity_Score]]*0.25) +
    (tbl_Data2[[#This Row],[Volume_Score]]*0.25) +
    (tbl_Data2[[#This Row],[Deviation_Score]]*0.3),
1
)</f>
        <v>4.5</v>
      </c>
      <c r="P56" t="str" cm="1">
        <f t="array" ref="P56">_xlfn.IFS(
tbl_Data2[[#This Row],[Final_Risk_Score]]&lt;5.5,"Low",
tbl_Data2[[#This Row],[Final_Risk_Score]]&lt;7.5,"Medium",
tbl_Data2[[#This Row],[Final_Risk_Score]]&gt;=7.5,"High"
)</f>
        <v>Low</v>
      </c>
      <c r="Q56" t="str" cm="1">
        <f t="array" ref="Q56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57" spans="1:17" hidden="1">
      <c r="A57" t="str">
        <f>tbl_data[[#This Row],[Customer_ID]]</f>
        <v>CUST-056</v>
      </c>
      <c r="B57" t="str">
        <f>tbl_data[[#This Row],[Customer_Type]]</f>
        <v>Business</v>
      </c>
      <c r="C57" t="str">
        <f>tbl_data[[#This Row],[Country]]</f>
        <v>Seychelles</v>
      </c>
      <c r="D57" t="str">
        <f>tbl_data[[#This Row],[Industry]]</f>
        <v>IT Services</v>
      </c>
      <c r="E57">
        <f>tbl_data[[#This Row],[Tx_Count_30D]]</f>
        <v>31</v>
      </c>
      <c r="F57">
        <f>tbl_data[[#This Row],[Total_Amount_30D]]</f>
        <v>82837</v>
      </c>
      <c r="G57">
        <f>tbl_data[[#This Row],[Avg_Tx_Count_6M]]</f>
        <v>38</v>
      </c>
      <c r="H57">
        <f>tbl_data[[#This Row],[Avg_Total_Amount_6M]]</f>
        <v>37599</v>
      </c>
      <c r="I57">
        <f>IFERROR(tbl_Data2[[#This Row],[Tx_Count_30D]]/tbl_Data2[[#This Row],[Avg_Tx_Count_6M]],0)</f>
        <v>0.81578947368421051</v>
      </c>
      <c r="J57">
        <f>IFERROR(tbl_Data2[[#This Row],[Total_Amount_30D]]/tbl_Data2[[#This Row],[Avg_Total_Amount_6M]],0)</f>
        <v>2.203170297082369</v>
      </c>
      <c r="K57">
        <f>_xlfn.XLOOKUP(tbl_Data2[[#This Row],[Country]], Geo_Map[Country], Geo_Map[Score], 5)</f>
        <v>9</v>
      </c>
      <c r="L57" cm="1">
        <f t="array" ref="L57">_xlfn.IFS(tbl_Data2[[#This Row],[Tx_Count_30D]]&lt;=5,2,tbl_Data2[[#This Row],[Tx_Count_30D]]&lt;=15,5,tbl_Data2[[#This Row],[Tx_Count_30D]]&lt;=30,7,tbl_Data2[[#This Row],[Tx_Count_30D]]&gt;30,9)</f>
        <v>9</v>
      </c>
      <c r="M57" cm="1">
        <f t="array" ref="M57">_xlfn.IFS(
tbl_Data2[[#This Row],[Total_Amount_30D]]&lt;10000,2,
tbl_Data2[[#This Row],[Total_Amount_30D]]&lt;25000,5,
tbl_Data2[[#This Row],[Total_Amount_30D]]&lt;50000,7,
tbl_Data2[[#This Row],[Total_Amount_30D]]&gt;=50000,9
)</f>
        <v>9</v>
      </c>
      <c r="N57" cm="1">
        <f t="array" ref="N57">_xlfn.IFS(
tbl_Data2[[#This Row],[Amount_Deviation]]&lt;1.5,2,
tbl_Data2[[#This Row],[Amount_Deviation]]&lt;3,6,
tbl_Data2[[#This Row],[Amount_Deviation]]&lt;6,8,
tbl_Data2[[#This Row],[Amount_Deviation]]&gt;=6,10
)</f>
        <v>6</v>
      </c>
      <c r="O57">
        <f>ROUND(
    (tbl_Data2[[#This Row],[Geo_Score]]*0.2) +
    (tbl_Data2[[#This Row],[Velocity_Score]]*0.25) +
    (tbl_Data2[[#This Row],[Volume_Score]]*0.25) +
    (tbl_Data2[[#This Row],[Deviation_Score]]*0.3),
1
)</f>
        <v>8.1</v>
      </c>
      <c r="P57" t="str" cm="1">
        <f t="array" ref="P57">_xlfn.IFS(
tbl_Data2[[#This Row],[Final_Risk_Score]]&lt;5.5,"Low",
tbl_Data2[[#This Row],[Final_Risk_Score]]&lt;7.5,"Medium",
tbl_Data2[[#This Row],[Final_Risk_Score]]&gt;=7.5,"High"
)</f>
        <v>High</v>
      </c>
      <c r="Q57" t="str" cm="1">
        <f t="array" ref="Q57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58" spans="1:17" hidden="1">
      <c r="A58" t="str">
        <f>tbl_data[[#This Row],[Customer_ID]]</f>
        <v>CUST-057</v>
      </c>
      <c r="B58" t="str">
        <f>tbl_data[[#This Row],[Customer_Type]]</f>
        <v>Business</v>
      </c>
      <c r="C58" t="str">
        <f>tbl_data[[#This Row],[Country]]</f>
        <v>Cyprus</v>
      </c>
      <c r="D58" t="str">
        <f>tbl_data[[#This Row],[Industry]]</f>
        <v>Trading</v>
      </c>
      <c r="E58">
        <f>tbl_data[[#This Row],[Tx_Count_30D]]</f>
        <v>2</v>
      </c>
      <c r="F58">
        <f>tbl_data[[#This Row],[Total_Amount_30D]]</f>
        <v>15229</v>
      </c>
      <c r="G58">
        <f>tbl_data[[#This Row],[Avg_Tx_Count_6M]]</f>
        <v>13</v>
      </c>
      <c r="H58">
        <f>tbl_data[[#This Row],[Avg_Total_Amount_6M]]</f>
        <v>12266</v>
      </c>
      <c r="I58">
        <f>IFERROR(tbl_Data2[[#This Row],[Tx_Count_30D]]/tbl_Data2[[#This Row],[Avg_Tx_Count_6M]],0)</f>
        <v>0.15384615384615385</v>
      </c>
      <c r="J58">
        <f>IFERROR(tbl_Data2[[#This Row],[Total_Amount_30D]]/tbl_Data2[[#This Row],[Avg_Total_Amount_6M]],0)</f>
        <v>1.2415620414152944</v>
      </c>
      <c r="K58">
        <f>_xlfn.XLOOKUP(tbl_Data2[[#This Row],[Country]], Geo_Map[Country], Geo_Map[Score], 5)</f>
        <v>7</v>
      </c>
      <c r="L58" cm="1">
        <f t="array" ref="L58">_xlfn.IFS(tbl_Data2[[#This Row],[Tx_Count_30D]]&lt;=5,2,tbl_Data2[[#This Row],[Tx_Count_30D]]&lt;=15,5,tbl_Data2[[#This Row],[Tx_Count_30D]]&lt;=30,7,tbl_Data2[[#This Row],[Tx_Count_30D]]&gt;30,9)</f>
        <v>2</v>
      </c>
      <c r="M58" cm="1">
        <f t="array" ref="M58">_xlfn.IFS(
tbl_Data2[[#This Row],[Total_Amount_30D]]&lt;10000,2,
tbl_Data2[[#This Row],[Total_Amount_30D]]&lt;25000,5,
tbl_Data2[[#This Row],[Total_Amount_30D]]&lt;50000,7,
tbl_Data2[[#This Row],[Total_Amount_30D]]&gt;=50000,9
)</f>
        <v>5</v>
      </c>
      <c r="N58" cm="1">
        <f t="array" ref="N58">_xlfn.IFS(
tbl_Data2[[#This Row],[Amount_Deviation]]&lt;1.5,2,
tbl_Data2[[#This Row],[Amount_Deviation]]&lt;3,6,
tbl_Data2[[#This Row],[Amount_Deviation]]&lt;6,8,
tbl_Data2[[#This Row],[Amount_Deviation]]&gt;=6,10
)</f>
        <v>2</v>
      </c>
      <c r="O58">
        <f>ROUND(
    (tbl_Data2[[#This Row],[Geo_Score]]*0.2) +
    (tbl_Data2[[#This Row],[Velocity_Score]]*0.25) +
    (tbl_Data2[[#This Row],[Volume_Score]]*0.25) +
    (tbl_Data2[[#This Row],[Deviation_Score]]*0.3),
1
)</f>
        <v>3.8</v>
      </c>
      <c r="P58" t="str" cm="1">
        <f t="array" ref="P58">_xlfn.IFS(
tbl_Data2[[#This Row],[Final_Risk_Score]]&lt;5.5,"Low",
tbl_Data2[[#This Row],[Final_Risk_Score]]&lt;7.5,"Medium",
tbl_Data2[[#This Row],[Final_Risk_Score]]&gt;=7.5,"High"
)</f>
        <v>Low</v>
      </c>
      <c r="Q58" t="str" cm="1">
        <f t="array" ref="Q58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59" spans="1:17" hidden="1">
      <c r="A59" t="str">
        <f>tbl_data[[#This Row],[Customer_ID]]</f>
        <v>CUST-058</v>
      </c>
      <c r="B59" t="str">
        <f>tbl_data[[#This Row],[Customer_Type]]</f>
        <v>Business</v>
      </c>
      <c r="C59" t="str">
        <f>tbl_data[[#This Row],[Country]]</f>
        <v>Cyprus</v>
      </c>
      <c r="D59" t="str">
        <f>tbl_data[[#This Row],[Industry]]</f>
        <v>Trading</v>
      </c>
      <c r="E59">
        <f>tbl_data[[#This Row],[Tx_Count_30D]]</f>
        <v>56</v>
      </c>
      <c r="F59">
        <f>tbl_data[[#This Row],[Total_Amount_30D]]</f>
        <v>105530</v>
      </c>
      <c r="G59">
        <f>tbl_data[[#This Row],[Avg_Tx_Count_6M]]</f>
        <v>7</v>
      </c>
      <c r="H59">
        <f>tbl_data[[#This Row],[Avg_Total_Amount_6M]]</f>
        <v>47229</v>
      </c>
      <c r="I59">
        <f>IFERROR(tbl_Data2[[#This Row],[Tx_Count_30D]]/tbl_Data2[[#This Row],[Avg_Tx_Count_6M]],0)</f>
        <v>8</v>
      </c>
      <c r="J59">
        <f>IFERROR(tbl_Data2[[#This Row],[Total_Amount_30D]]/tbl_Data2[[#This Row],[Avg_Total_Amount_6M]],0)</f>
        <v>2.2344322344322345</v>
      </c>
      <c r="K59">
        <f>_xlfn.XLOOKUP(tbl_Data2[[#This Row],[Country]], Geo_Map[Country], Geo_Map[Score], 5)</f>
        <v>7</v>
      </c>
      <c r="L59" cm="1">
        <f t="array" ref="L59">_xlfn.IFS(tbl_Data2[[#This Row],[Tx_Count_30D]]&lt;=5,2,tbl_Data2[[#This Row],[Tx_Count_30D]]&lt;=15,5,tbl_Data2[[#This Row],[Tx_Count_30D]]&lt;=30,7,tbl_Data2[[#This Row],[Tx_Count_30D]]&gt;30,9)</f>
        <v>9</v>
      </c>
      <c r="M59" cm="1">
        <f t="array" ref="M59">_xlfn.IFS(
tbl_Data2[[#This Row],[Total_Amount_30D]]&lt;10000,2,
tbl_Data2[[#This Row],[Total_Amount_30D]]&lt;25000,5,
tbl_Data2[[#This Row],[Total_Amount_30D]]&lt;50000,7,
tbl_Data2[[#This Row],[Total_Amount_30D]]&gt;=50000,9
)</f>
        <v>9</v>
      </c>
      <c r="N59" cm="1">
        <f t="array" ref="N59">_xlfn.IFS(
tbl_Data2[[#This Row],[Amount_Deviation]]&lt;1.5,2,
tbl_Data2[[#This Row],[Amount_Deviation]]&lt;3,6,
tbl_Data2[[#This Row],[Amount_Deviation]]&lt;6,8,
tbl_Data2[[#This Row],[Amount_Deviation]]&gt;=6,10
)</f>
        <v>6</v>
      </c>
      <c r="O59">
        <f>ROUND(
    (tbl_Data2[[#This Row],[Geo_Score]]*0.2) +
    (tbl_Data2[[#This Row],[Velocity_Score]]*0.25) +
    (tbl_Data2[[#This Row],[Volume_Score]]*0.25) +
    (tbl_Data2[[#This Row],[Deviation_Score]]*0.3),
1
)</f>
        <v>7.7</v>
      </c>
      <c r="P59" t="str" cm="1">
        <f t="array" ref="P59">_xlfn.IFS(
tbl_Data2[[#This Row],[Final_Risk_Score]]&lt;5.5,"Low",
tbl_Data2[[#This Row],[Final_Risk_Score]]&lt;7.5,"Medium",
tbl_Data2[[#This Row],[Final_Risk_Score]]&gt;=7.5,"High"
)</f>
        <v>High</v>
      </c>
      <c r="Q59" t="str" cm="1">
        <f t="array" ref="Q59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60" spans="1:17" hidden="1">
      <c r="A60" t="str">
        <f>tbl_data[[#This Row],[Customer_ID]]</f>
        <v>CUST-059</v>
      </c>
      <c r="B60" t="str">
        <f>tbl_data[[#This Row],[Customer_Type]]</f>
        <v>Business</v>
      </c>
      <c r="C60" t="str">
        <f>tbl_data[[#This Row],[Country]]</f>
        <v>USA</v>
      </c>
      <c r="D60" t="str">
        <f>tbl_data[[#This Row],[Industry]]</f>
        <v>Consulting</v>
      </c>
      <c r="E60">
        <f>tbl_data[[#This Row],[Tx_Count_30D]]</f>
        <v>24</v>
      </c>
      <c r="F60">
        <f>tbl_data[[#This Row],[Total_Amount_30D]]</f>
        <v>5680</v>
      </c>
      <c r="G60">
        <f>tbl_data[[#This Row],[Avg_Tx_Count_6M]]</f>
        <v>20</v>
      </c>
      <c r="H60">
        <f>tbl_data[[#This Row],[Avg_Total_Amount_6M]]</f>
        <v>51161</v>
      </c>
      <c r="I60">
        <f>IFERROR(tbl_Data2[[#This Row],[Tx_Count_30D]]/tbl_Data2[[#This Row],[Avg_Tx_Count_6M]],0)</f>
        <v>1.2</v>
      </c>
      <c r="J60">
        <f>IFERROR(tbl_Data2[[#This Row],[Total_Amount_30D]]/tbl_Data2[[#This Row],[Avg_Total_Amount_6M]],0)</f>
        <v>0.11102206759054749</v>
      </c>
      <c r="K60">
        <f>_xlfn.XLOOKUP(tbl_Data2[[#This Row],[Country]], Geo_Map[Country], Geo_Map[Score], 5)</f>
        <v>1</v>
      </c>
      <c r="L60" cm="1">
        <f t="array" ref="L60">_xlfn.IFS(tbl_Data2[[#This Row],[Tx_Count_30D]]&lt;=5,2,tbl_Data2[[#This Row],[Tx_Count_30D]]&lt;=15,5,tbl_Data2[[#This Row],[Tx_Count_30D]]&lt;=30,7,tbl_Data2[[#This Row],[Tx_Count_30D]]&gt;30,9)</f>
        <v>7</v>
      </c>
      <c r="M60" cm="1">
        <f t="array" ref="M60">_xlfn.IFS(
tbl_Data2[[#This Row],[Total_Amount_30D]]&lt;10000,2,
tbl_Data2[[#This Row],[Total_Amount_30D]]&lt;25000,5,
tbl_Data2[[#This Row],[Total_Amount_30D]]&lt;50000,7,
tbl_Data2[[#This Row],[Total_Amount_30D]]&gt;=50000,9
)</f>
        <v>2</v>
      </c>
      <c r="N60" cm="1">
        <f t="array" ref="N60">_xlfn.IFS(
tbl_Data2[[#This Row],[Amount_Deviation]]&lt;1.5,2,
tbl_Data2[[#This Row],[Amount_Deviation]]&lt;3,6,
tbl_Data2[[#This Row],[Amount_Deviation]]&lt;6,8,
tbl_Data2[[#This Row],[Amount_Deviation]]&gt;=6,10
)</f>
        <v>2</v>
      </c>
      <c r="O60">
        <f>ROUND(
    (tbl_Data2[[#This Row],[Geo_Score]]*0.2) +
    (tbl_Data2[[#This Row],[Velocity_Score]]*0.25) +
    (tbl_Data2[[#This Row],[Volume_Score]]*0.25) +
    (tbl_Data2[[#This Row],[Deviation_Score]]*0.3),
1
)</f>
        <v>3.1</v>
      </c>
      <c r="P60" t="str" cm="1">
        <f t="array" ref="P60">_xlfn.IFS(
tbl_Data2[[#This Row],[Final_Risk_Score]]&lt;5.5,"Low",
tbl_Data2[[#This Row],[Final_Risk_Score]]&lt;7.5,"Medium",
tbl_Data2[[#This Row],[Final_Risk_Score]]&gt;=7.5,"High"
)</f>
        <v>Low</v>
      </c>
      <c r="Q60" t="str" cm="1">
        <f t="array" ref="Q60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61" spans="1:17">
      <c r="A61" t="str">
        <f>tbl_data[[#This Row],[Customer_ID]]</f>
        <v>CUST-060</v>
      </c>
      <c r="B61" t="str">
        <f>tbl_data[[#This Row],[Customer_Type]]</f>
        <v>Business</v>
      </c>
      <c r="C61" t="str">
        <f>tbl_data[[#This Row],[Country]]</f>
        <v>Seychelles</v>
      </c>
      <c r="D61" t="str">
        <f>tbl_data[[#This Row],[Industry]]</f>
        <v>Import/Export</v>
      </c>
      <c r="E61">
        <f>tbl_data[[#This Row],[Tx_Count_30D]]</f>
        <v>27</v>
      </c>
      <c r="F61">
        <f>tbl_data[[#This Row],[Total_Amount_30D]]</f>
        <v>34937</v>
      </c>
      <c r="G61">
        <f>tbl_data[[#This Row],[Avg_Tx_Count_6M]]</f>
        <v>27</v>
      </c>
      <c r="H61">
        <f>tbl_data[[#This Row],[Avg_Total_Amount_6M]]</f>
        <v>55760</v>
      </c>
      <c r="I61">
        <f>IFERROR(tbl_Data2[[#This Row],[Tx_Count_30D]]/tbl_Data2[[#This Row],[Avg_Tx_Count_6M]],0)</f>
        <v>1</v>
      </c>
      <c r="J61">
        <f>IFERROR(tbl_Data2[[#This Row],[Total_Amount_30D]]/tbl_Data2[[#This Row],[Avg_Total_Amount_6M]],0)</f>
        <v>0.62656025824964134</v>
      </c>
      <c r="K61">
        <f>_xlfn.XLOOKUP(tbl_Data2[[#This Row],[Country]], Geo_Map[Country], Geo_Map[Score], 5)</f>
        <v>9</v>
      </c>
      <c r="L61" cm="1">
        <f t="array" ref="L61">_xlfn.IFS(tbl_Data2[[#This Row],[Tx_Count_30D]]&lt;=5,2,tbl_Data2[[#This Row],[Tx_Count_30D]]&lt;=15,5,tbl_Data2[[#This Row],[Tx_Count_30D]]&lt;=30,7,tbl_Data2[[#This Row],[Tx_Count_30D]]&gt;30,9)</f>
        <v>7</v>
      </c>
      <c r="M61" cm="1">
        <f t="array" ref="M61">_xlfn.IFS(
tbl_Data2[[#This Row],[Total_Amount_30D]]&lt;10000,2,
tbl_Data2[[#This Row],[Total_Amount_30D]]&lt;25000,5,
tbl_Data2[[#This Row],[Total_Amount_30D]]&lt;50000,7,
tbl_Data2[[#This Row],[Total_Amount_30D]]&gt;=50000,9
)</f>
        <v>7</v>
      </c>
      <c r="N61" cm="1">
        <f t="array" ref="N61">_xlfn.IFS(
tbl_Data2[[#This Row],[Amount_Deviation]]&lt;1.5,2,
tbl_Data2[[#This Row],[Amount_Deviation]]&lt;3,6,
tbl_Data2[[#This Row],[Amount_Deviation]]&lt;6,8,
tbl_Data2[[#This Row],[Amount_Deviation]]&gt;=6,10
)</f>
        <v>2</v>
      </c>
      <c r="O61">
        <f>ROUND(
    (tbl_Data2[[#This Row],[Geo_Score]]*0.2) +
    (tbl_Data2[[#This Row],[Velocity_Score]]*0.25) +
    (tbl_Data2[[#This Row],[Volume_Score]]*0.25) +
    (tbl_Data2[[#This Row],[Deviation_Score]]*0.3),
1
)</f>
        <v>5.9</v>
      </c>
      <c r="P61" t="str" cm="1">
        <f t="array" ref="P61">_xlfn.IFS(
tbl_Data2[[#This Row],[Final_Risk_Score]]&lt;5.5,"Low",
tbl_Data2[[#This Row],[Final_Risk_Score]]&lt;7.5,"Medium",
tbl_Data2[[#This Row],[Final_Risk_Score]]&gt;=7.5,"High"
)</f>
        <v>Medium</v>
      </c>
      <c r="Q61" t="str" cm="1">
        <f t="array" ref="Q61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62" spans="1:17" hidden="1">
      <c r="A62" t="str">
        <f>tbl_data[[#This Row],[Customer_ID]]</f>
        <v>CUST-061</v>
      </c>
      <c r="B62" t="str">
        <f>tbl_data[[#This Row],[Customer_Type]]</f>
        <v>Business</v>
      </c>
      <c r="C62" t="str">
        <f>tbl_data[[#This Row],[Country]]</f>
        <v>Seychelles</v>
      </c>
      <c r="D62" t="str">
        <f>tbl_data[[#This Row],[Industry]]</f>
        <v>Consulting</v>
      </c>
      <c r="E62">
        <f>tbl_data[[#This Row],[Tx_Count_30D]]</f>
        <v>8</v>
      </c>
      <c r="F62">
        <f>tbl_data[[#This Row],[Total_Amount_30D]]</f>
        <v>3118</v>
      </c>
      <c r="G62">
        <f>tbl_data[[#This Row],[Avg_Tx_Count_6M]]</f>
        <v>4</v>
      </c>
      <c r="H62">
        <f>tbl_data[[#This Row],[Avg_Total_Amount_6M]]</f>
        <v>1453</v>
      </c>
      <c r="I62">
        <f>IFERROR(tbl_Data2[[#This Row],[Tx_Count_30D]]/tbl_Data2[[#This Row],[Avg_Tx_Count_6M]],0)</f>
        <v>2</v>
      </c>
      <c r="J62">
        <f>IFERROR(tbl_Data2[[#This Row],[Total_Amount_30D]]/tbl_Data2[[#This Row],[Avg_Total_Amount_6M]],0)</f>
        <v>2.1459050240880937</v>
      </c>
      <c r="K62">
        <f>_xlfn.XLOOKUP(tbl_Data2[[#This Row],[Country]], Geo_Map[Country], Geo_Map[Score], 5)</f>
        <v>9</v>
      </c>
      <c r="L62" cm="1">
        <f t="array" ref="L62">_xlfn.IFS(tbl_Data2[[#This Row],[Tx_Count_30D]]&lt;=5,2,tbl_Data2[[#This Row],[Tx_Count_30D]]&lt;=15,5,tbl_Data2[[#This Row],[Tx_Count_30D]]&lt;=30,7,tbl_Data2[[#This Row],[Tx_Count_30D]]&gt;30,9)</f>
        <v>5</v>
      </c>
      <c r="M62" cm="1">
        <f t="array" ref="M62">_xlfn.IFS(
tbl_Data2[[#This Row],[Total_Amount_30D]]&lt;10000,2,
tbl_Data2[[#This Row],[Total_Amount_30D]]&lt;25000,5,
tbl_Data2[[#This Row],[Total_Amount_30D]]&lt;50000,7,
tbl_Data2[[#This Row],[Total_Amount_30D]]&gt;=50000,9
)</f>
        <v>2</v>
      </c>
      <c r="N62" cm="1">
        <f t="array" ref="N62">_xlfn.IFS(
tbl_Data2[[#This Row],[Amount_Deviation]]&lt;1.5,2,
tbl_Data2[[#This Row],[Amount_Deviation]]&lt;3,6,
tbl_Data2[[#This Row],[Amount_Deviation]]&lt;6,8,
tbl_Data2[[#This Row],[Amount_Deviation]]&gt;=6,10
)</f>
        <v>6</v>
      </c>
      <c r="O62">
        <f>ROUND(
    (tbl_Data2[[#This Row],[Geo_Score]]*0.2) +
    (tbl_Data2[[#This Row],[Velocity_Score]]*0.25) +
    (tbl_Data2[[#This Row],[Volume_Score]]*0.25) +
    (tbl_Data2[[#This Row],[Deviation_Score]]*0.3),
1
)</f>
        <v>5.4</v>
      </c>
      <c r="P62" t="str" cm="1">
        <f t="array" ref="P62">_xlfn.IFS(
tbl_Data2[[#This Row],[Final_Risk_Score]]&lt;5.5,"Low",
tbl_Data2[[#This Row],[Final_Risk_Score]]&lt;7.5,"Medium",
tbl_Data2[[#This Row],[Final_Risk_Score]]&gt;=7.5,"High"
)</f>
        <v>Low</v>
      </c>
      <c r="Q62" t="str" cm="1">
        <f t="array" ref="Q62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63" spans="1:17" hidden="1">
      <c r="A63" t="str">
        <f>tbl_data[[#This Row],[Customer_ID]]</f>
        <v>CUST-062</v>
      </c>
      <c r="B63" t="str">
        <f>tbl_data[[#This Row],[Customer_Type]]</f>
        <v>Individual</v>
      </c>
      <c r="C63" t="str">
        <f>tbl_data[[#This Row],[Country]]</f>
        <v>Panama</v>
      </c>
      <c r="D63" t="str">
        <f>tbl_data[[#This Row],[Industry]]</f>
        <v>Logistics</v>
      </c>
      <c r="E63">
        <f>tbl_data[[#This Row],[Tx_Count_30D]]</f>
        <v>30</v>
      </c>
      <c r="F63">
        <f>tbl_data[[#This Row],[Total_Amount_30D]]</f>
        <v>47277</v>
      </c>
      <c r="G63">
        <f>tbl_data[[#This Row],[Avg_Tx_Count_6M]]</f>
        <v>5</v>
      </c>
      <c r="H63">
        <f>tbl_data[[#This Row],[Avg_Total_Amount_6M]]</f>
        <v>11152</v>
      </c>
      <c r="I63">
        <f>IFERROR(tbl_Data2[[#This Row],[Tx_Count_30D]]/tbl_Data2[[#This Row],[Avg_Tx_Count_6M]],0)</f>
        <v>6</v>
      </c>
      <c r="J63">
        <f>IFERROR(tbl_Data2[[#This Row],[Total_Amount_30D]]/tbl_Data2[[#This Row],[Avg_Total_Amount_6M]],0)</f>
        <v>4.2393292682926829</v>
      </c>
      <c r="K63">
        <f>_xlfn.XLOOKUP(tbl_Data2[[#This Row],[Country]], Geo_Map[Country], Geo_Map[Score], 5)</f>
        <v>8</v>
      </c>
      <c r="L63" cm="1">
        <f t="array" ref="L63">_xlfn.IFS(tbl_Data2[[#This Row],[Tx_Count_30D]]&lt;=5,2,tbl_Data2[[#This Row],[Tx_Count_30D]]&lt;=15,5,tbl_Data2[[#This Row],[Tx_Count_30D]]&lt;=30,7,tbl_Data2[[#This Row],[Tx_Count_30D]]&gt;30,9)</f>
        <v>7</v>
      </c>
      <c r="M63" cm="1">
        <f t="array" ref="M63">_xlfn.IFS(
tbl_Data2[[#This Row],[Total_Amount_30D]]&lt;10000,2,
tbl_Data2[[#This Row],[Total_Amount_30D]]&lt;25000,5,
tbl_Data2[[#This Row],[Total_Amount_30D]]&lt;50000,7,
tbl_Data2[[#This Row],[Total_Amount_30D]]&gt;=50000,9
)</f>
        <v>7</v>
      </c>
      <c r="N63" cm="1">
        <f t="array" ref="N63">_xlfn.IFS(
tbl_Data2[[#This Row],[Amount_Deviation]]&lt;1.5,2,
tbl_Data2[[#This Row],[Amount_Deviation]]&lt;3,6,
tbl_Data2[[#This Row],[Amount_Deviation]]&lt;6,8,
tbl_Data2[[#This Row],[Amount_Deviation]]&gt;=6,10
)</f>
        <v>8</v>
      </c>
      <c r="O63">
        <f>ROUND(
    (tbl_Data2[[#This Row],[Geo_Score]]*0.2) +
    (tbl_Data2[[#This Row],[Velocity_Score]]*0.25) +
    (tbl_Data2[[#This Row],[Volume_Score]]*0.25) +
    (tbl_Data2[[#This Row],[Deviation_Score]]*0.3),
1
)</f>
        <v>7.5</v>
      </c>
      <c r="P63" t="str" cm="1">
        <f t="array" ref="P63">_xlfn.IFS(
tbl_Data2[[#This Row],[Final_Risk_Score]]&lt;5.5,"Low",
tbl_Data2[[#This Row],[Final_Risk_Score]]&lt;7.5,"Medium",
tbl_Data2[[#This Row],[Final_Risk_Score]]&gt;=7.5,"High"
)</f>
        <v>High</v>
      </c>
      <c r="Q63" t="str" cm="1">
        <f t="array" ref="Q63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64" spans="1:17" hidden="1">
      <c r="A64" t="str">
        <f>tbl_data[[#This Row],[Customer_ID]]</f>
        <v>CUST-063</v>
      </c>
      <c r="B64" t="str">
        <f>tbl_data[[#This Row],[Customer_Type]]</f>
        <v>Business</v>
      </c>
      <c r="C64" t="str">
        <f>tbl_data[[#This Row],[Country]]</f>
        <v>Panama</v>
      </c>
      <c r="D64" t="str">
        <f>tbl_data[[#This Row],[Industry]]</f>
        <v>Manufacturing</v>
      </c>
      <c r="E64">
        <f>tbl_data[[#This Row],[Tx_Count_30D]]</f>
        <v>55</v>
      </c>
      <c r="F64">
        <f>tbl_data[[#This Row],[Total_Amount_30D]]</f>
        <v>3422</v>
      </c>
      <c r="G64">
        <f>tbl_data[[#This Row],[Avg_Tx_Count_6M]]</f>
        <v>7</v>
      </c>
      <c r="H64">
        <f>tbl_data[[#This Row],[Avg_Total_Amount_6M]]</f>
        <v>4516</v>
      </c>
      <c r="I64">
        <f>IFERROR(tbl_Data2[[#This Row],[Tx_Count_30D]]/tbl_Data2[[#This Row],[Avg_Tx_Count_6M]],0)</f>
        <v>7.8571428571428568</v>
      </c>
      <c r="J64">
        <f>IFERROR(tbl_Data2[[#This Row],[Total_Amount_30D]]/tbl_Data2[[#This Row],[Avg_Total_Amount_6M]],0)</f>
        <v>0.75775022143489812</v>
      </c>
      <c r="K64">
        <f>_xlfn.XLOOKUP(tbl_Data2[[#This Row],[Country]], Geo_Map[Country], Geo_Map[Score], 5)</f>
        <v>8</v>
      </c>
      <c r="L64" cm="1">
        <f t="array" ref="L64">_xlfn.IFS(tbl_Data2[[#This Row],[Tx_Count_30D]]&lt;=5,2,tbl_Data2[[#This Row],[Tx_Count_30D]]&lt;=15,5,tbl_Data2[[#This Row],[Tx_Count_30D]]&lt;=30,7,tbl_Data2[[#This Row],[Tx_Count_30D]]&gt;30,9)</f>
        <v>9</v>
      </c>
      <c r="M64" cm="1">
        <f t="array" ref="M64">_xlfn.IFS(
tbl_Data2[[#This Row],[Total_Amount_30D]]&lt;10000,2,
tbl_Data2[[#This Row],[Total_Amount_30D]]&lt;25000,5,
tbl_Data2[[#This Row],[Total_Amount_30D]]&lt;50000,7,
tbl_Data2[[#This Row],[Total_Amount_30D]]&gt;=50000,9
)</f>
        <v>2</v>
      </c>
      <c r="N64" cm="1">
        <f t="array" ref="N64">_xlfn.IFS(
tbl_Data2[[#This Row],[Amount_Deviation]]&lt;1.5,2,
tbl_Data2[[#This Row],[Amount_Deviation]]&lt;3,6,
tbl_Data2[[#This Row],[Amount_Deviation]]&lt;6,8,
tbl_Data2[[#This Row],[Amount_Deviation]]&gt;=6,10
)</f>
        <v>2</v>
      </c>
      <c r="O64">
        <f>ROUND(
    (tbl_Data2[[#This Row],[Geo_Score]]*0.2) +
    (tbl_Data2[[#This Row],[Velocity_Score]]*0.25) +
    (tbl_Data2[[#This Row],[Volume_Score]]*0.25) +
    (tbl_Data2[[#This Row],[Deviation_Score]]*0.3),
1
)</f>
        <v>5</v>
      </c>
      <c r="P64" t="str" cm="1">
        <f t="array" ref="P64">_xlfn.IFS(
tbl_Data2[[#This Row],[Final_Risk_Score]]&lt;5.5,"Low",
tbl_Data2[[#This Row],[Final_Risk_Score]]&lt;7.5,"Medium",
tbl_Data2[[#This Row],[Final_Risk_Score]]&gt;=7.5,"High"
)</f>
        <v>Low</v>
      </c>
      <c r="Q64" t="str" cm="1">
        <f t="array" ref="Q64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65" spans="1:17" hidden="1">
      <c r="A65" t="str">
        <f>tbl_data[[#This Row],[Customer_ID]]</f>
        <v>CUST-064</v>
      </c>
      <c r="B65" t="str">
        <f>tbl_data[[#This Row],[Customer_Type]]</f>
        <v>Business</v>
      </c>
      <c r="C65" t="str">
        <f>tbl_data[[#This Row],[Country]]</f>
        <v>Panama</v>
      </c>
      <c r="D65" t="str">
        <f>tbl_data[[#This Row],[Industry]]</f>
        <v>Consulting</v>
      </c>
      <c r="E65">
        <f>tbl_data[[#This Row],[Tx_Count_30D]]</f>
        <v>45</v>
      </c>
      <c r="F65">
        <f>tbl_data[[#This Row],[Total_Amount_30D]]</f>
        <v>113661</v>
      </c>
      <c r="G65">
        <f>tbl_data[[#This Row],[Avg_Tx_Count_6M]]</f>
        <v>8</v>
      </c>
      <c r="H65">
        <f>tbl_data[[#This Row],[Avg_Total_Amount_6M]]</f>
        <v>27428</v>
      </c>
      <c r="I65">
        <f>IFERROR(tbl_Data2[[#This Row],[Tx_Count_30D]]/tbl_Data2[[#This Row],[Avg_Tx_Count_6M]],0)</f>
        <v>5.625</v>
      </c>
      <c r="J65">
        <f>IFERROR(tbl_Data2[[#This Row],[Total_Amount_30D]]/tbl_Data2[[#This Row],[Avg_Total_Amount_6M]],0)</f>
        <v>4.1439769578532886</v>
      </c>
      <c r="K65">
        <f>_xlfn.XLOOKUP(tbl_Data2[[#This Row],[Country]], Geo_Map[Country], Geo_Map[Score], 5)</f>
        <v>8</v>
      </c>
      <c r="L65" cm="1">
        <f t="array" ref="L65">_xlfn.IFS(tbl_Data2[[#This Row],[Tx_Count_30D]]&lt;=5,2,tbl_Data2[[#This Row],[Tx_Count_30D]]&lt;=15,5,tbl_Data2[[#This Row],[Tx_Count_30D]]&lt;=30,7,tbl_Data2[[#This Row],[Tx_Count_30D]]&gt;30,9)</f>
        <v>9</v>
      </c>
      <c r="M65" cm="1">
        <f t="array" ref="M65">_xlfn.IFS(
tbl_Data2[[#This Row],[Total_Amount_30D]]&lt;10000,2,
tbl_Data2[[#This Row],[Total_Amount_30D]]&lt;25000,5,
tbl_Data2[[#This Row],[Total_Amount_30D]]&lt;50000,7,
tbl_Data2[[#This Row],[Total_Amount_30D]]&gt;=50000,9
)</f>
        <v>9</v>
      </c>
      <c r="N65" cm="1">
        <f t="array" ref="N65">_xlfn.IFS(
tbl_Data2[[#This Row],[Amount_Deviation]]&lt;1.5,2,
tbl_Data2[[#This Row],[Amount_Deviation]]&lt;3,6,
tbl_Data2[[#This Row],[Amount_Deviation]]&lt;6,8,
tbl_Data2[[#This Row],[Amount_Deviation]]&gt;=6,10
)</f>
        <v>8</v>
      </c>
      <c r="O65">
        <f>ROUND(
    (tbl_Data2[[#This Row],[Geo_Score]]*0.2) +
    (tbl_Data2[[#This Row],[Velocity_Score]]*0.25) +
    (tbl_Data2[[#This Row],[Volume_Score]]*0.25) +
    (tbl_Data2[[#This Row],[Deviation_Score]]*0.3),
1
)</f>
        <v>8.5</v>
      </c>
      <c r="P65" t="str" cm="1">
        <f t="array" ref="P65">_xlfn.IFS(
tbl_Data2[[#This Row],[Final_Risk_Score]]&lt;5.5,"Low",
tbl_Data2[[#This Row],[Final_Risk_Score]]&lt;7.5,"Medium",
tbl_Data2[[#This Row],[Final_Risk_Score]]&gt;=7.5,"High"
)</f>
        <v>High</v>
      </c>
      <c r="Q65" t="str" cm="1">
        <f t="array" ref="Q65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66" spans="1:17">
      <c r="A66" t="str">
        <f>tbl_data[[#This Row],[Customer_ID]]</f>
        <v>CUST-065</v>
      </c>
      <c r="B66" t="str">
        <f>tbl_data[[#This Row],[Customer_Type]]</f>
        <v>Business</v>
      </c>
      <c r="C66" t="str">
        <f>tbl_data[[#This Row],[Country]]</f>
        <v>Hong Kong</v>
      </c>
      <c r="D66" t="str">
        <f>tbl_data[[#This Row],[Industry]]</f>
        <v>Manufacturing</v>
      </c>
      <c r="E66">
        <f>tbl_data[[#This Row],[Tx_Count_30D]]</f>
        <v>22</v>
      </c>
      <c r="F66">
        <f>tbl_data[[#This Row],[Total_Amount_30D]]</f>
        <v>85235</v>
      </c>
      <c r="G66">
        <f>tbl_data[[#This Row],[Avg_Tx_Count_6M]]</f>
        <v>32</v>
      </c>
      <c r="H66">
        <f>tbl_data[[#This Row],[Avg_Total_Amount_6M]]</f>
        <v>33180</v>
      </c>
      <c r="I66">
        <f>IFERROR(tbl_Data2[[#This Row],[Tx_Count_30D]]/tbl_Data2[[#This Row],[Avg_Tx_Count_6M]],0)</f>
        <v>0.6875</v>
      </c>
      <c r="J66">
        <f>IFERROR(tbl_Data2[[#This Row],[Total_Amount_30D]]/tbl_Data2[[#This Row],[Avg_Total_Amount_6M]],0)</f>
        <v>2.5688667872212174</v>
      </c>
      <c r="K66">
        <f>_xlfn.XLOOKUP(tbl_Data2[[#This Row],[Country]], Geo_Map[Country], Geo_Map[Score], 5)</f>
        <v>6</v>
      </c>
      <c r="L66" cm="1">
        <f t="array" ref="L66">_xlfn.IFS(tbl_Data2[[#This Row],[Tx_Count_30D]]&lt;=5,2,tbl_Data2[[#This Row],[Tx_Count_30D]]&lt;=15,5,tbl_Data2[[#This Row],[Tx_Count_30D]]&lt;=30,7,tbl_Data2[[#This Row],[Tx_Count_30D]]&gt;30,9)</f>
        <v>7</v>
      </c>
      <c r="M66" cm="1">
        <f t="array" ref="M66">_xlfn.IFS(
tbl_Data2[[#This Row],[Total_Amount_30D]]&lt;10000,2,
tbl_Data2[[#This Row],[Total_Amount_30D]]&lt;25000,5,
tbl_Data2[[#This Row],[Total_Amount_30D]]&lt;50000,7,
tbl_Data2[[#This Row],[Total_Amount_30D]]&gt;=50000,9
)</f>
        <v>9</v>
      </c>
      <c r="N66" cm="1">
        <f t="array" ref="N66">_xlfn.IFS(
tbl_Data2[[#This Row],[Amount_Deviation]]&lt;1.5,2,
tbl_Data2[[#This Row],[Amount_Deviation]]&lt;3,6,
tbl_Data2[[#This Row],[Amount_Deviation]]&lt;6,8,
tbl_Data2[[#This Row],[Amount_Deviation]]&gt;=6,10
)</f>
        <v>6</v>
      </c>
      <c r="O66">
        <f>ROUND(
    (tbl_Data2[[#This Row],[Geo_Score]]*0.2) +
    (tbl_Data2[[#This Row],[Velocity_Score]]*0.25) +
    (tbl_Data2[[#This Row],[Volume_Score]]*0.25) +
    (tbl_Data2[[#This Row],[Deviation_Score]]*0.3),
1
)</f>
        <v>7</v>
      </c>
      <c r="P66" t="str" cm="1">
        <f t="array" ref="P66">_xlfn.IFS(
tbl_Data2[[#This Row],[Final_Risk_Score]]&lt;5.5,"Low",
tbl_Data2[[#This Row],[Final_Risk_Score]]&lt;7.5,"Medium",
tbl_Data2[[#This Row],[Final_Risk_Score]]&gt;=7.5,"High"
)</f>
        <v>Medium</v>
      </c>
      <c r="Q66" t="str" cm="1">
        <f t="array" ref="Q66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67" spans="1:17" hidden="1">
      <c r="A67" t="str">
        <f>tbl_data[[#This Row],[Customer_ID]]</f>
        <v>CUST-066</v>
      </c>
      <c r="B67" t="str">
        <f>tbl_data[[#This Row],[Customer_Type]]</f>
        <v>Business</v>
      </c>
      <c r="C67" t="str">
        <f>tbl_data[[#This Row],[Country]]</f>
        <v>USA</v>
      </c>
      <c r="D67" t="str">
        <f>tbl_data[[#This Row],[Industry]]</f>
        <v>IT Services</v>
      </c>
      <c r="E67">
        <f>tbl_data[[#This Row],[Tx_Count_30D]]</f>
        <v>56</v>
      </c>
      <c r="F67">
        <f>tbl_data[[#This Row],[Total_Amount_30D]]</f>
        <v>43175</v>
      </c>
      <c r="G67">
        <f>tbl_data[[#This Row],[Avg_Tx_Count_6M]]</f>
        <v>8</v>
      </c>
      <c r="H67">
        <f>tbl_data[[#This Row],[Avg_Total_Amount_6M]]</f>
        <v>48303</v>
      </c>
      <c r="I67">
        <f>IFERROR(tbl_Data2[[#This Row],[Tx_Count_30D]]/tbl_Data2[[#This Row],[Avg_Tx_Count_6M]],0)</f>
        <v>7</v>
      </c>
      <c r="J67">
        <f>IFERROR(tbl_Data2[[#This Row],[Total_Amount_30D]]/tbl_Data2[[#This Row],[Avg_Total_Amount_6M]],0)</f>
        <v>0.89383682172949919</v>
      </c>
      <c r="K67">
        <f>_xlfn.XLOOKUP(tbl_Data2[[#This Row],[Country]], Geo_Map[Country], Geo_Map[Score], 5)</f>
        <v>1</v>
      </c>
      <c r="L67" cm="1">
        <f t="array" ref="L67">_xlfn.IFS(tbl_Data2[[#This Row],[Tx_Count_30D]]&lt;=5,2,tbl_Data2[[#This Row],[Tx_Count_30D]]&lt;=15,5,tbl_Data2[[#This Row],[Tx_Count_30D]]&lt;=30,7,tbl_Data2[[#This Row],[Tx_Count_30D]]&gt;30,9)</f>
        <v>9</v>
      </c>
      <c r="M67" cm="1">
        <f t="array" ref="M67">_xlfn.IFS(
tbl_Data2[[#This Row],[Total_Amount_30D]]&lt;10000,2,
tbl_Data2[[#This Row],[Total_Amount_30D]]&lt;25000,5,
tbl_Data2[[#This Row],[Total_Amount_30D]]&lt;50000,7,
tbl_Data2[[#This Row],[Total_Amount_30D]]&gt;=50000,9
)</f>
        <v>7</v>
      </c>
      <c r="N67" cm="1">
        <f t="array" ref="N67">_xlfn.IFS(
tbl_Data2[[#This Row],[Amount_Deviation]]&lt;1.5,2,
tbl_Data2[[#This Row],[Amount_Deviation]]&lt;3,6,
tbl_Data2[[#This Row],[Amount_Deviation]]&lt;6,8,
tbl_Data2[[#This Row],[Amount_Deviation]]&gt;=6,10
)</f>
        <v>2</v>
      </c>
      <c r="O67">
        <f>ROUND(
    (tbl_Data2[[#This Row],[Geo_Score]]*0.2) +
    (tbl_Data2[[#This Row],[Velocity_Score]]*0.25) +
    (tbl_Data2[[#This Row],[Volume_Score]]*0.25) +
    (tbl_Data2[[#This Row],[Deviation_Score]]*0.3),
1
)</f>
        <v>4.8</v>
      </c>
      <c r="P67" t="str" cm="1">
        <f t="array" ref="P67">_xlfn.IFS(
tbl_Data2[[#This Row],[Final_Risk_Score]]&lt;5.5,"Low",
tbl_Data2[[#This Row],[Final_Risk_Score]]&lt;7.5,"Medium",
tbl_Data2[[#This Row],[Final_Risk_Score]]&gt;=7.5,"High"
)</f>
        <v>Low</v>
      </c>
      <c r="Q67" t="str" cm="1">
        <f t="array" ref="Q67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68" spans="1:17">
      <c r="A68" t="str">
        <f>tbl_data[[#This Row],[Customer_ID]]</f>
        <v>CUST-067</v>
      </c>
      <c r="B68" t="str">
        <f>tbl_data[[#This Row],[Customer_Type]]</f>
        <v>Business</v>
      </c>
      <c r="C68" t="str">
        <f>tbl_data[[#This Row],[Country]]</f>
        <v>UAE</v>
      </c>
      <c r="D68" t="str">
        <f>tbl_data[[#This Row],[Industry]]</f>
        <v>Import/Export</v>
      </c>
      <c r="E68">
        <f>tbl_data[[#This Row],[Tx_Count_30D]]</f>
        <v>11</v>
      </c>
      <c r="F68">
        <f>tbl_data[[#This Row],[Total_Amount_30D]]</f>
        <v>83298</v>
      </c>
      <c r="G68">
        <f>tbl_data[[#This Row],[Avg_Tx_Count_6M]]</f>
        <v>4</v>
      </c>
      <c r="H68">
        <f>tbl_data[[#This Row],[Avg_Total_Amount_6M]]</f>
        <v>33214</v>
      </c>
      <c r="I68">
        <f>IFERROR(tbl_Data2[[#This Row],[Tx_Count_30D]]/tbl_Data2[[#This Row],[Avg_Tx_Count_6M]],0)</f>
        <v>2.75</v>
      </c>
      <c r="J68">
        <f>IFERROR(tbl_Data2[[#This Row],[Total_Amount_30D]]/tbl_Data2[[#This Row],[Avg_Total_Amount_6M]],0)</f>
        <v>2.5079183476847113</v>
      </c>
      <c r="K68">
        <f>_xlfn.XLOOKUP(tbl_Data2[[#This Row],[Country]], Geo_Map[Country], Geo_Map[Score], 5)</f>
        <v>6</v>
      </c>
      <c r="L68" cm="1">
        <f t="array" ref="L68">_xlfn.IFS(tbl_Data2[[#This Row],[Tx_Count_30D]]&lt;=5,2,tbl_Data2[[#This Row],[Tx_Count_30D]]&lt;=15,5,tbl_Data2[[#This Row],[Tx_Count_30D]]&lt;=30,7,tbl_Data2[[#This Row],[Tx_Count_30D]]&gt;30,9)</f>
        <v>5</v>
      </c>
      <c r="M68" cm="1">
        <f t="array" ref="M68">_xlfn.IFS(
tbl_Data2[[#This Row],[Total_Amount_30D]]&lt;10000,2,
tbl_Data2[[#This Row],[Total_Amount_30D]]&lt;25000,5,
tbl_Data2[[#This Row],[Total_Amount_30D]]&lt;50000,7,
tbl_Data2[[#This Row],[Total_Amount_30D]]&gt;=50000,9
)</f>
        <v>9</v>
      </c>
      <c r="N68" cm="1">
        <f t="array" ref="N68">_xlfn.IFS(
tbl_Data2[[#This Row],[Amount_Deviation]]&lt;1.5,2,
tbl_Data2[[#This Row],[Amount_Deviation]]&lt;3,6,
tbl_Data2[[#This Row],[Amount_Deviation]]&lt;6,8,
tbl_Data2[[#This Row],[Amount_Deviation]]&gt;=6,10
)</f>
        <v>6</v>
      </c>
      <c r="O68">
        <f>ROUND(
    (tbl_Data2[[#This Row],[Geo_Score]]*0.2) +
    (tbl_Data2[[#This Row],[Velocity_Score]]*0.25) +
    (tbl_Data2[[#This Row],[Volume_Score]]*0.25) +
    (tbl_Data2[[#This Row],[Deviation_Score]]*0.3),
1
)</f>
        <v>6.5</v>
      </c>
      <c r="P68" t="str" cm="1">
        <f t="array" ref="P68">_xlfn.IFS(
tbl_Data2[[#This Row],[Final_Risk_Score]]&lt;5.5,"Low",
tbl_Data2[[#This Row],[Final_Risk_Score]]&lt;7.5,"Medium",
tbl_Data2[[#This Row],[Final_Risk_Score]]&gt;=7.5,"High"
)</f>
        <v>Medium</v>
      </c>
      <c r="Q68" t="str" cm="1">
        <f t="array" ref="Q68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69" spans="1:17" hidden="1">
      <c r="A69" t="str">
        <f>tbl_data[[#This Row],[Customer_ID]]</f>
        <v>CUST-068</v>
      </c>
      <c r="B69" t="str">
        <f>tbl_data[[#This Row],[Customer_Type]]</f>
        <v>Business</v>
      </c>
      <c r="C69" t="str">
        <f>tbl_data[[#This Row],[Country]]</f>
        <v>UAE</v>
      </c>
      <c r="D69" t="str">
        <f>tbl_data[[#This Row],[Industry]]</f>
        <v>Trading</v>
      </c>
      <c r="E69">
        <f>tbl_data[[#This Row],[Tx_Count_30D]]</f>
        <v>58</v>
      </c>
      <c r="F69">
        <f>tbl_data[[#This Row],[Total_Amount_30D]]</f>
        <v>92704</v>
      </c>
      <c r="G69">
        <f>tbl_data[[#This Row],[Avg_Tx_Count_6M]]</f>
        <v>30</v>
      </c>
      <c r="H69">
        <f>tbl_data[[#This Row],[Avg_Total_Amount_6M]]</f>
        <v>34925</v>
      </c>
      <c r="I69">
        <f>IFERROR(tbl_Data2[[#This Row],[Tx_Count_30D]]/tbl_Data2[[#This Row],[Avg_Tx_Count_6M]],0)</f>
        <v>1.9333333333333333</v>
      </c>
      <c r="J69">
        <f>IFERROR(tbl_Data2[[#This Row],[Total_Amount_30D]]/tbl_Data2[[#This Row],[Avg_Total_Amount_6M]],0)</f>
        <v>2.6543736578382249</v>
      </c>
      <c r="K69">
        <f>_xlfn.XLOOKUP(tbl_Data2[[#This Row],[Country]], Geo_Map[Country], Geo_Map[Score], 5)</f>
        <v>6</v>
      </c>
      <c r="L69" cm="1">
        <f t="array" ref="L69">_xlfn.IFS(tbl_Data2[[#This Row],[Tx_Count_30D]]&lt;=5,2,tbl_Data2[[#This Row],[Tx_Count_30D]]&lt;=15,5,tbl_Data2[[#This Row],[Tx_Count_30D]]&lt;=30,7,tbl_Data2[[#This Row],[Tx_Count_30D]]&gt;30,9)</f>
        <v>9</v>
      </c>
      <c r="M69" cm="1">
        <f t="array" ref="M69">_xlfn.IFS(
tbl_Data2[[#This Row],[Total_Amount_30D]]&lt;10000,2,
tbl_Data2[[#This Row],[Total_Amount_30D]]&lt;25000,5,
tbl_Data2[[#This Row],[Total_Amount_30D]]&lt;50000,7,
tbl_Data2[[#This Row],[Total_Amount_30D]]&gt;=50000,9
)</f>
        <v>9</v>
      </c>
      <c r="N69" cm="1">
        <f t="array" ref="N69">_xlfn.IFS(
tbl_Data2[[#This Row],[Amount_Deviation]]&lt;1.5,2,
tbl_Data2[[#This Row],[Amount_Deviation]]&lt;3,6,
tbl_Data2[[#This Row],[Amount_Deviation]]&lt;6,8,
tbl_Data2[[#This Row],[Amount_Deviation]]&gt;=6,10
)</f>
        <v>6</v>
      </c>
      <c r="O69">
        <f>ROUND(
    (tbl_Data2[[#This Row],[Geo_Score]]*0.2) +
    (tbl_Data2[[#This Row],[Velocity_Score]]*0.25) +
    (tbl_Data2[[#This Row],[Volume_Score]]*0.25) +
    (tbl_Data2[[#This Row],[Deviation_Score]]*0.3),
1
)</f>
        <v>7.5</v>
      </c>
      <c r="P69" t="str" cm="1">
        <f t="array" ref="P69">_xlfn.IFS(
tbl_Data2[[#This Row],[Final_Risk_Score]]&lt;5.5,"Low",
tbl_Data2[[#This Row],[Final_Risk_Score]]&lt;7.5,"Medium",
tbl_Data2[[#This Row],[Final_Risk_Score]]&gt;=7.5,"High"
)</f>
        <v>High</v>
      </c>
      <c r="Q69" t="str" cm="1">
        <f t="array" ref="Q69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70" spans="1:17">
      <c r="A70" t="str">
        <f>tbl_data[[#This Row],[Customer_ID]]</f>
        <v>CUST-069</v>
      </c>
      <c r="B70" t="str">
        <f>tbl_data[[#This Row],[Customer_Type]]</f>
        <v>Business</v>
      </c>
      <c r="C70" t="str">
        <f>tbl_data[[#This Row],[Country]]</f>
        <v>UAE</v>
      </c>
      <c r="D70" t="str">
        <f>tbl_data[[#This Row],[Industry]]</f>
        <v>Trading</v>
      </c>
      <c r="E70">
        <f>tbl_data[[#This Row],[Tx_Count_30D]]</f>
        <v>46</v>
      </c>
      <c r="F70">
        <f>tbl_data[[#This Row],[Total_Amount_30D]]</f>
        <v>2708</v>
      </c>
      <c r="G70">
        <f>tbl_data[[#This Row],[Avg_Tx_Count_6M]]</f>
        <v>27</v>
      </c>
      <c r="H70">
        <f>tbl_data[[#This Row],[Avg_Total_Amount_6M]]</f>
        <v>1473</v>
      </c>
      <c r="I70">
        <f>IFERROR(tbl_Data2[[#This Row],[Tx_Count_30D]]/tbl_Data2[[#This Row],[Avg_Tx_Count_6M]],0)</f>
        <v>1.7037037037037037</v>
      </c>
      <c r="J70">
        <f>IFERROR(tbl_Data2[[#This Row],[Total_Amount_30D]]/tbl_Data2[[#This Row],[Avg_Total_Amount_6M]],0)</f>
        <v>1.8384249830278343</v>
      </c>
      <c r="K70">
        <f>_xlfn.XLOOKUP(tbl_Data2[[#This Row],[Country]], Geo_Map[Country], Geo_Map[Score], 5)</f>
        <v>6</v>
      </c>
      <c r="L70" cm="1">
        <f t="array" ref="L70">_xlfn.IFS(tbl_Data2[[#This Row],[Tx_Count_30D]]&lt;=5,2,tbl_Data2[[#This Row],[Tx_Count_30D]]&lt;=15,5,tbl_Data2[[#This Row],[Tx_Count_30D]]&lt;=30,7,tbl_Data2[[#This Row],[Tx_Count_30D]]&gt;30,9)</f>
        <v>9</v>
      </c>
      <c r="M70" cm="1">
        <f t="array" ref="M70">_xlfn.IFS(
tbl_Data2[[#This Row],[Total_Amount_30D]]&lt;10000,2,
tbl_Data2[[#This Row],[Total_Amount_30D]]&lt;25000,5,
tbl_Data2[[#This Row],[Total_Amount_30D]]&lt;50000,7,
tbl_Data2[[#This Row],[Total_Amount_30D]]&gt;=50000,9
)</f>
        <v>2</v>
      </c>
      <c r="N70" cm="1">
        <f t="array" ref="N70">_xlfn.IFS(
tbl_Data2[[#This Row],[Amount_Deviation]]&lt;1.5,2,
tbl_Data2[[#This Row],[Amount_Deviation]]&lt;3,6,
tbl_Data2[[#This Row],[Amount_Deviation]]&lt;6,8,
tbl_Data2[[#This Row],[Amount_Deviation]]&gt;=6,10
)</f>
        <v>6</v>
      </c>
      <c r="O70">
        <f>ROUND(
    (tbl_Data2[[#This Row],[Geo_Score]]*0.2) +
    (tbl_Data2[[#This Row],[Velocity_Score]]*0.25) +
    (tbl_Data2[[#This Row],[Volume_Score]]*0.25) +
    (tbl_Data2[[#This Row],[Deviation_Score]]*0.3),
1
)</f>
        <v>5.8</v>
      </c>
      <c r="P70" t="str" cm="1">
        <f t="array" ref="P70">_xlfn.IFS(
tbl_Data2[[#This Row],[Final_Risk_Score]]&lt;5.5,"Low",
tbl_Data2[[#This Row],[Final_Risk_Score]]&lt;7.5,"Medium",
tbl_Data2[[#This Row],[Final_Risk_Score]]&gt;=7.5,"High"
)</f>
        <v>Medium</v>
      </c>
      <c r="Q70" t="str" cm="1">
        <f t="array" ref="Q70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71" spans="1:17">
      <c r="A71" t="str">
        <f>tbl_data[[#This Row],[Customer_ID]]</f>
        <v>CUST-070</v>
      </c>
      <c r="B71" t="str">
        <f>tbl_data[[#This Row],[Customer_Type]]</f>
        <v>Business</v>
      </c>
      <c r="C71" t="str">
        <f>tbl_data[[#This Row],[Country]]</f>
        <v>Panama</v>
      </c>
      <c r="D71" t="str">
        <f>tbl_data[[#This Row],[Industry]]</f>
        <v>Logistics</v>
      </c>
      <c r="E71">
        <f>tbl_data[[#This Row],[Tx_Count_30D]]</f>
        <v>20</v>
      </c>
      <c r="F71">
        <f>tbl_data[[#This Row],[Total_Amount_30D]]</f>
        <v>29522</v>
      </c>
      <c r="G71">
        <f>tbl_data[[#This Row],[Avg_Tx_Count_6M]]</f>
        <v>9</v>
      </c>
      <c r="H71">
        <f>tbl_data[[#This Row],[Avg_Total_Amount_6M]]</f>
        <v>44463</v>
      </c>
      <c r="I71">
        <f>IFERROR(tbl_Data2[[#This Row],[Tx_Count_30D]]/tbl_Data2[[#This Row],[Avg_Tx_Count_6M]],0)</f>
        <v>2.2222222222222223</v>
      </c>
      <c r="J71">
        <f>IFERROR(tbl_Data2[[#This Row],[Total_Amount_30D]]/tbl_Data2[[#This Row],[Avg_Total_Amount_6M]],0)</f>
        <v>0.66396779344623624</v>
      </c>
      <c r="K71">
        <f>_xlfn.XLOOKUP(tbl_Data2[[#This Row],[Country]], Geo_Map[Country], Geo_Map[Score], 5)</f>
        <v>8</v>
      </c>
      <c r="L71" cm="1">
        <f t="array" ref="L71">_xlfn.IFS(tbl_Data2[[#This Row],[Tx_Count_30D]]&lt;=5,2,tbl_Data2[[#This Row],[Tx_Count_30D]]&lt;=15,5,tbl_Data2[[#This Row],[Tx_Count_30D]]&lt;=30,7,tbl_Data2[[#This Row],[Tx_Count_30D]]&gt;30,9)</f>
        <v>7</v>
      </c>
      <c r="M71" cm="1">
        <f t="array" ref="M71">_xlfn.IFS(
tbl_Data2[[#This Row],[Total_Amount_30D]]&lt;10000,2,
tbl_Data2[[#This Row],[Total_Amount_30D]]&lt;25000,5,
tbl_Data2[[#This Row],[Total_Amount_30D]]&lt;50000,7,
tbl_Data2[[#This Row],[Total_Amount_30D]]&gt;=50000,9
)</f>
        <v>7</v>
      </c>
      <c r="N71" cm="1">
        <f t="array" ref="N71">_xlfn.IFS(
tbl_Data2[[#This Row],[Amount_Deviation]]&lt;1.5,2,
tbl_Data2[[#This Row],[Amount_Deviation]]&lt;3,6,
tbl_Data2[[#This Row],[Amount_Deviation]]&lt;6,8,
tbl_Data2[[#This Row],[Amount_Deviation]]&gt;=6,10
)</f>
        <v>2</v>
      </c>
      <c r="O71">
        <f>ROUND(
    (tbl_Data2[[#This Row],[Geo_Score]]*0.2) +
    (tbl_Data2[[#This Row],[Velocity_Score]]*0.25) +
    (tbl_Data2[[#This Row],[Volume_Score]]*0.25) +
    (tbl_Data2[[#This Row],[Deviation_Score]]*0.3),
1
)</f>
        <v>5.7</v>
      </c>
      <c r="P71" t="str" cm="1">
        <f t="array" ref="P71">_xlfn.IFS(
tbl_Data2[[#This Row],[Final_Risk_Score]]&lt;5.5,"Low",
tbl_Data2[[#This Row],[Final_Risk_Score]]&lt;7.5,"Medium",
tbl_Data2[[#This Row],[Final_Risk_Score]]&gt;=7.5,"High"
)</f>
        <v>Medium</v>
      </c>
      <c r="Q71" t="str" cm="1">
        <f t="array" ref="Q71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72" spans="1:17">
      <c r="A72" t="str">
        <f>tbl_data[[#This Row],[Customer_ID]]</f>
        <v>CUST-071</v>
      </c>
      <c r="B72" t="str">
        <f>tbl_data[[#This Row],[Customer_Type]]</f>
        <v>Business</v>
      </c>
      <c r="C72" t="str">
        <f>tbl_data[[#This Row],[Country]]</f>
        <v>Panama</v>
      </c>
      <c r="D72" t="str">
        <f>tbl_data[[#This Row],[Industry]]</f>
        <v>IT Services</v>
      </c>
      <c r="E72">
        <f>tbl_data[[#This Row],[Tx_Count_30D]]</f>
        <v>28</v>
      </c>
      <c r="F72">
        <f>tbl_data[[#This Row],[Total_Amount_30D]]</f>
        <v>31252</v>
      </c>
      <c r="G72">
        <f>tbl_data[[#This Row],[Avg_Tx_Count_6M]]</f>
        <v>34</v>
      </c>
      <c r="H72">
        <f>tbl_data[[#This Row],[Avg_Total_Amount_6M]]</f>
        <v>29135</v>
      </c>
      <c r="I72">
        <f>IFERROR(tbl_Data2[[#This Row],[Tx_Count_30D]]/tbl_Data2[[#This Row],[Avg_Tx_Count_6M]],0)</f>
        <v>0.82352941176470584</v>
      </c>
      <c r="J72">
        <f>IFERROR(tbl_Data2[[#This Row],[Total_Amount_30D]]/tbl_Data2[[#This Row],[Avg_Total_Amount_6M]],0)</f>
        <v>1.0726617470396431</v>
      </c>
      <c r="K72">
        <f>_xlfn.XLOOKUP(tbl_Data2[[#This Row],[Country]], Geo_Map[Country], Geo_Map[Score], 5)</f>
        <v>8</v>
      </c>
      <c r="L72" cm="1">
        <f t="array" ref="L72">_xlfn.IFS(tbl_Data2[[#This Row],[Tx_Count_30D]]&lt;=5,2,tbl_Data2[[#This Row],[Tx_Count_30D]]&lt;=15,5,tbl_Data2[[#This Row],[Tx_Count_30D]]&lt;=30,7,tbl_Data2[[#This Row],[Tx_Count_30D]]&gt;30,9)</f>
        <v>7</v>
      </c>
      <c r="M72" cm="1">
        <f t="array" ref="M72">_xlfn.IFS(
tbl_Data2[[#This Row],[Total_Amount_30D]]&lt;10000,2,
tbl_Data2[[#This Row],[Total_Amount_30D]]&lt;25000,5,
tbl_Data2[[#This Row],[Total_Amount_30D]]&lt;50000,7,
tbl_Data2[[#This Row],[Total_Amount_30D]]&gt;=50000,9
)</f>
        <v>7</v>
      </c>
      <c r="N72" cm="1">
        <f t="array" ref="N72">_xlfn.IFS(
tbl_Data2[[#This Row],[Amount_Deviation]]&lt;1.5,2,
tbl_Data2[[#This Row],[Amount_Deviation]]&lt;3,6,
tbl_Data2[[#This Row],[Amount_Deviation]]&lt;6,8,
tbl_Data2[[#This Row],[Amount_Deviation]]&gt;=6,10
)</f>
        <v>2</v>
      </c>
      <c r="O72">
        <f>ROUND(
    (tbl_Data2[[#This Row],[Geo_Score]]*0.2) +
    (tbl_Data2[[#This Row],[Velocity_Score]]*0.25) +
    (tbl_Data2[[#This Row],[Volume_Score]]*0.25) +
    (tbl_Data2[[#This Row],[Deviation_Score]]*0.3),
1
)</f>
        <v>5.7</v>
      </c>
      <c r="P72" t="str" cm="1">
        <f t="array" ref="P72">_xlfn.IFS(
tbl_Data2[[#This Row],[Final_Risk_Score]]&lt;5.5,"Low",
tbl_Data2[[#This Row],[Final_Risk_Score]]&lt;7.5,"Medium",
tbl_Data2[[#This Row],[Final_Risk_Score]]&gt;=7.5,"High"
)</f>
        <v>Medium</v>
      </c>
      <c r="Q72" t="str" cm="1">
        <f t="array" ref="Q72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73" spans="1:17">
      <c r="A73" t="str">
        <f>tbl_data[[#This Row],[Customer_ID]]</f>
        <v>CUST-072</v>
      </c>
      <c r="B73" t="str">
        <f>tbl_data[[#This Row],[Customer_Type]]</f>
        <v>Business</v>
      </c>
      <c r="C73" t="str">
        <f>tbl_data[[#This Row],[Country]]</f>
        <v>BVI</v>
      </c>
      <c r="D73" t="str">
        <f>tbl_data[[#This Row],[Industry]]</f>
        <v>Trading</v>
      </c>
      <c r="E73">
        <f>tbl_data[[#This Row],[Tx_Count_30D]]</f>
        <v>53</v>
      </c>
      <c r="F73">
        <f>tbl_data[[#This Row],[Total_Amount_30D]]</f>
        <v>23871</v>
      </c>
      <c r="G73">
        <f>tbl_data[[#This Row],[Avg_Tx_Count_6M]]</f>
        <v>16</v>
      </c>
      <c r="H73">
        <f>tbl_data[[#This Row],[Avg_Total_Amount_6M]]</f>
        <v>69201</v>
      </c>
      <c r="I73">
        <f>IFERROR(tbl_Data2[[#This Row],[Tx_Count_30D]]/tbl_Data2[[#This Row],[Avg_Tx_Count_6M]],0)</f>
        <v>3.3125</v>
      </c>
      <c r="J73">
        <f>IFERROR(tbl_Data2[[#This Row],[Total_Amount_30D]]/tbl_Data2[[#This Row],[Avg_Total_Amount_6M]],0)</f>
        <v>0.34495166254822907</v>
      </c>
      <c r="K73">
        <f>_xlfn.XLOOKUP(tbl_Data2[[#This Row],[Country]], Geo_Map[Country], Geo_Map[Score], 5)</f>
        <v>9</v>
      </c>
      <c r="L73" cm="1">
        <f t="array" ref="L73">_xlfn.IFS(tbl_Data2[[#This Row],[Tx_Count_30D]]&lt;=5,2,tbl_Data2[[#This Row],[Tx_Count_30D]]&lt;=15,5,tbl_Data2[[#This Row],[Tx_Count_30D]]&lt;=30,7,tbl_Data2[[#This Row],[Tx_Count_30D]]&gt;30,9)</f>
        <v>9</v>
      </c>
      <c r="M73" cm="1">
        <f t="array" ref="M73">_xlfn.IFS(
tbl_Data2[[#This Row],[Total_Amount_30D]]&lt;10000,2,
tbl_Data2[[#This Row],[Total_Amount_30D]]&lt;25000,5,
tbl_Data2[[#This Row],[Total_Amount_30D]]&lt;50000,7,
tbl_Data2[[#This Row],[Total_Amount_30D]]&gt;=50000,9
)</f>
        <v>5</v>
      </c>
      <c r="N73" cm="1">
        <f t="array" ref="N73">_xlfn.IFS(
tbl_Data2[[#This Row],[Amount_Deviation]]&lt;1.5,2,
tbl_Data2[[#This Row],[Amount_Deviation]]&lt;3,6,
tbl_Data2[[#This Row],[Amount_Deviation]]&lt;6,8,
tbl_Data2[[#This Row],[Amount_Deviation]]&gt;=6,10
)</f>
        <v>2</v>
      </c>
      <c r="O73">
        <f>ROUND(
    (tbl_Data2[[#This Row],[Geo_Score]]*0.2) +
    (tbl_Data2[[#This Row],[Velocity_Score]]*0.25) +
    (tbl_Data2[[#This Row],[Volume_Score]]*0.25) +
    (tbl_Data2[[#This Row],[Deviation_Score]]*0.3),
1
)</f>
        <v>5.9</v>
      </c>
      <c r="P73" t="str" cm="1">
        <f t="array" ref="P73">_xlfn.IFS(
tbl_Data2[[#This Row],[Final_Risk_Score]]&lt;5.5,"Low",
tbl_Data2[[#This Row],[Final_Risk_Score]]&lt;7.5,"Medium",
tbl_Data2[[#This Row],[Final_Risk_Score]]&gt;=7.5,"High"
)</f>
        <v>Medium</v>
      </c>
      <c r="Q73" t="str" cm="1">
        <f t="array" ref="Q73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74" spans="1:17" hidden="1">
      <c r="A74" t="str">
        <f>tbl_data[[#This Row],[Customer_ID]]</f>
        <v>CUST-073</v>
      </c>
      <c r="B74" t="str">
        <f>tbl_data[[#This Row],[Customer_Type]]</f>
        <v>Business</v>
      </c>
      <c r="C74" t="str">
        <f>tbl_data[[#This Row],[Country]]</f>
        <v>Seychelles</v>
      </c>
      <c r="D74" t="str">
        <f>tbl_data[[#This Row],[Industry]]</f>
        <v>Consulting</v>
      </c>
      <c r="E74">
        <f>tbl_data[[#This Row],[Tx_Count_30D]]</f>
        <v>43</v>
      </c>
      <c r="F74">
        <f>tbl_data[[#This Row],[Total_Amount_30D]]</f>
        <v>57408</v>
      </c>
      <c r="G74">
        <f>tbl_data[[#This Row],[Avg_Tx_Count_6M]]</f>
        <v>4</v>
      </c>
      <c r="H74">
        <f>tbl_data[[#This Row],[Avg_Total_Amount_6M]]</f>
        <v>29903</v>
      </c>
      <c r="I74">
        <f>IFERROR(tbl_Data2[[#This Row],[Tx_Count_30D]]/tbl_Data2[[#This Row],[Avg_Tx_Count_6M]],0)</f>
        <v>10.75</v>
      </c>
      <c r="J74">
        <f>IFERROR(tbl_Data2[[#This Row],[Total_Amount_30D]]/tbl_Data2[[#This Row],[Avg_Total_Amount_6M]],0)</f>
        <v>1.9198073771862354</v>
      </c>
      <c r="K74">
        <f>_xlfn.XLOOKUP(tbl_Data2[[#This Row],[Country]], Geo_Map[Country], Geo_Map[Score], 5)</f>
        <v>9</v>
      </c>
      <c r="L74" cm="1">
        <f t="array" ref="L74">_xlfn.IFS(tbl_Data2[[#This Row],[Tx_Count_30D]]&lt;=5,2,tbl_Data2[[#This Row],[Tx_Count_30D]]&lt;=15,5,tbl_Data2[[#This Row],[Tx_Count_30D]]&lt;=30,7,tbl_Data2[[#This Row],[Tx_Count_30D]]&gt;30,9)</f>
        <v>9</v>
      </c>
      <c r="M74" cm="1">
        <f t="array" ref="M74">_xlfn.IFS(
tbl_Data2[[#This Row],[Total_Amount_30D]]&lt;10000,2,
tbl_Data2[[#This Row],[Total_Amount_30D]]&lt;25000,5,
tbl_Data2[[#This Row],[Total_Amount_30D]]&lt;50000,7,
tbl_Data2[[#This Row],[Total_Amount_30D]]&gt;=50000,9
)</f>
        <v>9</v>
      </c>
      <c r="N74" cm="1">
        <f t="array" ref="N74">_xlfn.IFS(
tbl_Data2[[#This Row],[Amount_Deviation]]&lt;1.5,2,
tbl_Data2[[#This Row],[Amount_Deviation]]&lt;3,6,
tbl_Data2[[#This Row],[Amount_Deviation]]&lt;6,8,
tbl_Data2[[#This Row],[Amount_Deviation]]&gt;=6,10
)</f>
        <v>6</v>
      </c>
      <c r="O74">
        <f>ROUND(
    (tbl_Data2[[#This Row],[Geo_Score]]*0.2) +
    (tbl_Data2[[#This Row],[Velocity_Score]]*0.25) +
    (tbl_Data2[[#This Row],[Volume_Score]]*0.25) +
    (tbl_Data2[[#This Row],[Deviation_Score]]*0.3),
1
)</f>
        <v>8.1</v>
      </c>
      <c r="P74" t="str" cm="1">
        <f t="array" ref="P74">_xlfn.IFS(
tbl_Data2[[#This Row],[Final_Risk_Score]]&lt;5.5,"Low",
tbl_Data2[[#This Row],[Final_Risk_Score]]&lt;7.5,"Medium",
tbl_Data2[[#This Row],[Final_Risk_Score]]&gt;=7.5,"High"
)</f>
        <v>High</v>
      </c>
      <c r="Q74" t="str" cm="1">
        <f t="array" ref="Q74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75" spans="1:17">
      <c r="A75" t="str">
        <f>tbl_data[[#This Row],[Customer_ID]]</f>
        <v>CUST-074</v>
      </c>
      <c r="B75" t="str">
        <f>tbl_data[[#This Row],[Customer_Type]]</f>
        <v>Business</v>
      </c>
      <c r="C75" t="str">
        <f>tbl_data[[#This Row],[Country]]</f>
        <v>UAE</v>
      </c>
      <c r="D75" t="str">
        <f>tbl_data[[#This Row],[Industry]]</f>
        <v>Trading</v>
      </c>
      <c r="E75">
        <f>tbl_data[[#This Row],[Tx_Count_30D]]</f>
        <v>60</v>
      </c>
      <c r="F75">
        <f>tbl_data[[#This Row],[Total_Amount_30D]]</f>
        <v>59615</v>
      </c>
      <c r="G75">
        <f>tbl_data[[#This Row],[Avg_Tx_Count_6M]]</f>
        <v>20</v>
      </c>
      <c r="H75">
        <f>tbl_data[[#This Row],[Avg_Total_Amount_6M]]</f>
        <v>50884</v>
      </c>
      <c r="I75">
        <f>IFERROR(tbl_Data2[[#This Row],[Tx_Count_30D]]/tbl_Data2[[#This Row],[Avg_Tx_Count_6M]],0)</f>
        <v>3</v>
      </c>
      <c r="J75">
        <f>IFERROR(tbl_Data2[[#This Row],[Total_Amount_30D]]/tbl_Data2[[#This Row],[Avg_Total_Amount_6M]],0)</f>
        <v>1.1715863532741138</v>
      </c>
      <c r="K75">
        <f>_xlfn.XLOOKUP(tbl_Data2[[#This Row],[Country]], Geo_Map[Country], Geo_Map[Score], 5)</f>
        <v>6</v>
      </c>
      <c r="L75" cm="1">
        <f t="array" ref="L75">_xlfn.IFS(tbl_Data2[[#This Row],[Tx_Count_30D]]&lt;=5,2,tbl_Data2[[#This Row],[Tx_Count_30D]]&lt;=15,5,tbl_Data2[[#This Row],[Tx_Count_30D]]&lt;=30,7,tbl_Data2[[#This Row],[Tx_Count_30D]]&gt;30,9)</f>
        <v>9</v>
      </c>
      <c r="M75" cm="1">
        <f t="array" ref="M75">_xlfn.IFS(
tbl_Data2[[#This Row],[Total_Amount_30D]]&lt;10000,2,
tbl_Data2[[#This Row],[Total_Amount_30D]]&lt;25000,5,
tbl_Data2[[#This Row],[Total_Amount_30D]]&lt;50000,7,
tbl_Data2[[#This Row],[Total_Amount_30D]]&gt;=50000,9
)</f>
        <v>9</v>
      </c>
      <c r="N75" cm="1">
        <f t="array" ref="N75">_xlfn.IFS(
tbl_Data2[[#This Row],[Amount_Deviation]]&lt;1.5,2,
tbl_Data2[[#This Row],[Amount_Deviation]]&lt;3,6,
tbl_Data2[[#This Row],[Amount_Deviation]]&lt;6,8,
tbl_Data2[[#This Row],[Amount_Deviation]]&gt;=6,10
)</f>
        <v>2</v>
      </c>
      <c r="O75">
        <f>ROUND(
    (tbl_Data2[[#This Row],[Geo_Score]]*0.2) +
    (tbl_Data2[[#This Row],[Velocity_Score]]*0.25) +
    (tbl_Data2[[#This Row],[Volume_Score]]*0.25) +
    (tbl_Data2[[#This Row],[Deviation_Score]]*0.3),
1
)</f>
        <v>6.3</v>
      </c>
      <c r="P75" t="str" cm="1">
        <f t="array" ref="P75">_xlfn.IFS(
tbl_Data2[[#This Row],[Final_Risk_Score]]&lt;5.5,"Low",
tbl_Data2[[#This Row],[Final_Risk_Score]]&lt;7.5,"Medium",
tbl_Data2[[#This Row],[Final_Risk_Score]]&gt;=7.5,"High"
)</f>
        <v>Medium</v>
      </c>
      <c r="Q75" t="str" cm="1">
        <f t="array" ref="Q75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76" spans="1:17">
      <c r="A76" t="str">
        <f>tbl_data[[#This Row],[Customer_ID]]</f>
        <v>CUST-075</v>
      </c>
      <c r="B76" t="str">
        <f>tbl_data[[#This Row],[Customer_Type]]</f>
        <v>Business</v>
      </c>
      <c r="C76" t="str">
        <f>tbl_data[[#This Row],[Country]]</f>
        <v>USA</v>
      </c>
      <c r="D76" t="str">
        <f>tbl_data[[#This Row],[Industry]]</f>
        <v>Logistics</v>
      </c>
      <c r="E76">
        <f>tbl_data[[#This Row],[Tx_Count_30D]]</f>
        <v>57</v>
      </c>
      <c r="F76">
        <f>tbl_data[[#This Row],[Total_Amount_30D]]</f>
        <v>103574</v>
      </c>
      <c r="G76">
        <f>tbl_data[[#This Row],[Avg_Tx_Count_6M]]</f>
        <v>24</v>
      </c>
      <c r="H76">
        <f>tbl_data[[#This Row],[Avg_Total_Amount_6M]]</f>
        <v>44228</v>
      </c>
      <c r="I76">
        <f>IFERROR(tbl_Data2[[#This Row],[Tx_Count_30D]]/tbl_Data2[[#This Row],[Avg_Tx_Count_6M]],0)</f>
        <v>2.375</v>
      </c>
      <c r="J76">
        <f>IFERROR(tbl_Data2[[#This Row],[Total_Amount_30D]]/tbl_Data2[[#This Row],[Avg_Total_Amount_6M]],0)</f>
        <v>2.3418196617527358</v>
      </c>
      <c r="K76">
        <f>_xlfn.XLOOKUP(tbl_Data2[[#This Row],[Country]], Geo_Map[Country], Geo_Map[Score], 5)</f>
        <v>1</v>
      </c>
      <c r="L76" cm="1">
        <f t="array" ref="L76">_xlfn.IFS(tbl_Data2[[#This Row],[Tx_Count_30D]]&lt;=5,2,tbl_Data2[[#This Row],[Tx_Count_30D]]&lt;=15,5,tbl_Data2[[#This Row],[Tx_Count_30D]]&lt;=30,7,tbl_Data2[[#This Row],[Tx_Count_30D]]&gt;30,9)</f>
        <v>9</v>
      </c>
      <c r="M76" cm="1">
        <f t="array" ref="M76">_xlfn.IFS(
tbl_Data2[[#This Row],[Total_Amount_30D]]&lt;10000,2,
tbl_Data2[[#This Row],[Total_Amount_30D]]&lt;25000,5,
tbl_Data2[[#This Row],[Total_Amount_30D]]&lt;50000,7,
tbl_Data2[[#This Row],[Total_Amount_30D]]&gt;=50000,9
)</f>
        <v>9</v>
      </c>
      <c r="N76" cm="1">
        <f t="array" ref="N76">_xlfn.IFS(
tbl_Data2[[#This Row],[Amount_Deviation]]&lt;1.5,2,
tbl_Data2[[#This Row],[Amount_Deviation]]&lt;3,6,
tbl_Data2[[#This Row],[Amount_Deviation]]&lt;6,8,
tbl_Data2[[#This Row],[Amount_Deviation]]&gt;=6,10
)</f>
        <v>6</v>
      </c>
      <c r="O76">
        <f>ROUND(
    (tbl_Data2[[#This Row],[Geo_Score]]*0.2) +
    (tbl_Data2[[#This Row],[Velocity_Score]]*0.25) +
    (tbl_Data2[[#This Row],[Volume_Score]]*0.25) +
    (tbl_Data2[[#This Row],[Deviation_Score]]*0.3),
1
)</f>
        <v>6.5</v>
      </c>
      <c r="P76" t="str" cm="1">
        <f t="array" ref="P76">_xlfn.IFS(
tbl_Data2[[#This Row],[Final_Risk_Score]]&lt;5.5,"Low",
tbl_Data2[[#This Row],[Final_Risk_Score]]&lt;7.5,"Medium",
tbl_Data2[[#This Row],[Final_Risk_Score]]&gt;=7.5,"High"
)</f>
        <v>Medium</v>
      </c>
      <c r="Q76" t="str" cm="1">
        <f t="array" ref="Q76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77" spans="1:17">
      <c r="A77" t="str">
        <f>tbl_data[[#This Row],[Customer_ID]]</f>
        <v>CUST-076</v>
      </c>
      <c r="B77" t="str">
        <f>tbl_data[[#This Row],[Customer_Type]]</f>
        <v>Business</v>
      </c>
      <c r="C77" t="str">
        <f>tbl_data[[#This Row],[Country]]</f>
        <v>Panama</v>
      </c>
      <c r="D77" t="str">
        <f>tbl_data[[#This Row],[Industry]]</f>
        <v>Manufacturing</v>
      </c>
      <c r="E77">
        <f>tbl_data[[#This Row],[Tx_Count_30D]]</f>
        <v>5</v>
      </c>
      <c r="F77">
        <f>tbl_data[[#This Row],[Total_Amount_30D]]</f>
        <v>88047</v>
      </c>
      <c r="G77">
        <f>tbl_data[[#This Row],[Avg_Tx_Count_6M]]</f>
        <v>21</v>
      </c>
      <c r="H77">
        <f>tbl_data[[#This Row],[Avg_Total_Amount_6M]]</f>
        <v>53569</v>
      </c>
      <c r="I77">
        <f>IFERROR(tbl_Data2[[#This Row],[Tx_Count_30D]]/tbl_Data2[[#This Row],[Avg_Tx_Count_6M]],0)</f>
        <v>0.23809523809523808</v>
      </c>
      <c r="J77">
        <f>IFERROR(tbl_Data2[[#This Row],[Total_Amount_30D]]/tbl_Data2[[#This Row],[Avg_Total_Amount_6M]],0)</f>
        <v>1.6436185107058188</v>
      </c>
      <c r="K77">
        <f>_xlfn.XLOOKUP(tbl_Data2[[#This Row],[Country]], Geo_Map[Country], Geo_Map[Score], 5)</f>
        <v>8</v>
      </c>
      <c r="L77" cm="1">
        <f t="array" ref="L77">_xlfn.IFS(tbl_Data2[[#This Row],[Tx_Count_30D]]&lt;=5,2,tbl_Data2[[#This Row],[Tx_Count_30D]]&lt;=15,5,tbl_Data2[[#This Row],[Tx_Count_30D]]&lt;=30,7,tbl_Data2[[#This Row],[Tx_Count_30D]]&gt;30,9)</f>
        <v>2</v>
      </c>
      <c r="M77" cm="1">
        <f t="array" ref="M77">_xlfn.IFS(
tbl_Data2[[#This Row],[Total_Amount_30D]]&lt;10000,2,
tbl_Data2[[#This Row],[Total_Amount_30D]]&lt;25000,5,
tbl_Data2[[#This Row],[Total_Amount_30D]]&lt;50000,7,
tbl_Data2[[#This Row],[Total_Amount_30D]]&gt;=50000,9
)</f>
        <v>9</v>
      </c>
      <c r="N77" cm="1">
        <f t="array" ref="N77">_xlfn.IFS(
tbl_Data2[[#This Row],[Amount_Deviation]]&lt;1.5,2,
tbl_Data2[[#This Row],[Amount_Deviation]]&lt;3,6,
tbl_Data2[[#This Row],[Amount_Deviation]]&lt;6,8,
tbl_Data2[[#This Row],[Amount_Deviation]]&gt;=6,10
)</f>
        <v>6</v>
      </c>
      <c r="O77">
        <f>ROUND(
    (tbl_Data2[[#This Row],[Geo_Score]]*0.2) +
    (tbl_Data2[[#This Row],[Velocity_Score]]*0.25) +
    (tbl_Data2[[#This Row],[Volume_Score]]*0.25) +
    (tbl_Data2[[#This Row],[Deviation_Score]]*0.3),
1
)</f>
        <v>6.2</v>
      </c>
      <c r="P77" t="str" cm="1">
        <f t="array" ref="P77">_xlfn.IFS(
tbl_Data2[[#This Row],[Final_Risk_Score]]&lt;5.5,"Low",
tbl_Data2[[#This Row],[Final_Risk_Score]]&lt;7.5,"Medium",
tbl_Data2[[#This Row],[Final_Risk_Score]]&gt;=7.5,"High"
)</f>
        <v>Medium</v>
      </c>
      <c r="Q77" t="str" cm="1">
        <f t="array" ref="Q77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78" spans="1:17">
      <c r="A78" t="str">
        <f>tbl_data[[#This Row],[Customer_ID]]</f>
        <v>CUST-077</v>
      </c>
      <c r="B78" t="str">
        <f>tbl_data[[#This Row],[Customer_Type]]</f>
        <v>Business</v>
      </c>
      <c r="C78" t="str">
        <f>tbl_data[[#This Row],[Country]]</f>
        <v>Cyprus</v>
      </c>
      <c r="D78" t="str">
        <f>tbl_data[[#This Row],[Industry]]</f>
        <v>Logistics</v>
      </c>
      <c r="E78">
        <f>tbl_data[[#This Row],[Tx_Count_30D]]</f>
        <v>18</v>
      </c>
      <c r="F78">
        <f>tbl_data[[#This Row],[Total_Amount_30D]]</f>
        <v>115967</v>
      </c>
      <c r="G78">
        <f>tbl_data[[#This Row],[Avg_Tx_Count_6M]]</f>
        <v>6</v>
      </c>
      <c r="H78">
        <f>tbl_data[[#This Row],[Avg_Total_Amount_6M]]</f>
        <v>67471</v>
      </c>
      <c r="I78">
        <f>IFERROR(tbl_Data2[[#This Row],[Tx_Count_30D]]/tbl_Data2[[#This Row],[Avg_Tx_Count_6M]],0)</f>
        <v>3</v>
      </c>
      <c r="J78">
        <f>IFERROR(tbl_Data2[[#This Row],[Total_Amount_30D]]/tbl_Data2[[#This Row],[Avg_Total_Amount_6M]],0)</f>
        <v>1.7187680633160913</v>
      </c>
      <c r="K78">
        <f>_xlfn.XLOOKUP(tbl_Data2[[#This Row],[Country]], Geo_Map[Country], Geo_Map[Score], 5)</f>
        <v>7</v>
      </c>
      <c r="L78" cm="1">
        <f t="array" ref="L78">_xlfn.IFS(tbl_Data2[[#This Row],[Tx_Count_30D]]&lt;=5,2,tbl_Data2[[#This Row],[Tx_Count_30D]]&lt;=15,5,tbl_Data2[[#This Row],[Tx_Count_30D]]&lt;=30,7,tbl_Data2[[#This Row],[Tx_Count_30D]]&gt;30,9)</f>
        <v>7</v>
      </c>
      <c r="M78" cm="1">
        <f t="array" ref="M78">_xlfn.IFS(
tbl_Data2[[#This Row],[Total_Amount_30D]]&lt;10000,2,
tbl_Data2[[#This Row],[Total_Amount_30D]]&lt;25000,5,
tbl_Data2[[#This Row],[Total_Amount_30D]]&lt;50000,7,
tbl_Data2[[#This Row],[Total_Amount_30D]]&gt;=50000,9
)</f>
        <v>9</v>
      </c>
      <c r="N78" cm="1">
        <f t="array" ref="N78">_xlfn.IFS(
tbl_Data2[[#This Row],[Amount_Deviation]]&lt;1.5,2,
tbl_Data2[[#This Row],[Amount_Deviation]]&lt;3,6,
tbl_Data2[[#This Row],[Amount_Deviation]]&lt;6,8,
tbl_Data2[[#This Row],[Amount_Deviation]]&gt;=6,10
)</f>
        <v>6</v>
      </c>
      <c r="O78">
        <f>ROUND(
    (tbl_Data2[[#This Row],[Geo_Score]]*0.2) +
    (tbl_Data2[[#This Row],[Velocity_Score]]*0.25) +
    (tbl_Data2[[#This Row],[Volume_Score]]*0.25) +
    (tbl_Data2[[#This Row],[Deviation_Score]]*0.3),
1
)</f>
        <v>7.2</v>
      </c>
      <c r="P78" t="str" cm="1">
        <f t="array" ref="P78">_xlfn.IFS(
tbl_Data2[[#This Row],[Final_Risk_Score]]&lt;5.5,"Low",
tbl_Data2[[#This Row],[Final_Risk_Score]]&lt;7.5,"Medium",
tbl_Data2[[#This Row],[Final_Risk_Score]]&gt;=7.5,"High"
)</f>
        <v>Medium</v>
      </c>
      <c r="Q78" t="str" cm="1">
        <f t="array" ref="Q78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79" spans="1:17">
      <c r="A79" t="str">
        <f>tbl_data[[#This Row],[Customer_ID]]</f>
        <v>CUST-078</v>
      </c>
      <c r="B79" t="str">
        <f>tbl_data[[#This Row],[Customer_Type]]</f>
        <v>Business</v>
      </c>
      <c r="C79" t="str">
        <f>tbl_data[[#This Row],[Country]]</f>
        <v>Panama</v>
      </c>
      <c r="D79" t="str">
        <f>tbl_data[[#This Row],[Industry]]</f>
        <v>Trading</v>
      </c>
      <c r="E79">
        <f>tbl_data[[#This Row],[Tx_Count_30D]]</f>
        <v>3</v>
      </c>
      <c r="F79">
        <f>tbl_data[[#This Row],[Total_Amount_30D]]</f>
        <v>114441</v>
      </c>
      <c r="G79">
        <f>tbl_data[[#This Row],[Avg_Tx_Count_6M]]</f>
        <v>24</v>
      </c>
      <c r="H79">
        <f>tbl_data[[#This Row],[Avg_Total_Amount_6M]]</f>
        <v>68838</v>
      </c>
      <c r="I79">
        <f>IFERROR(tbl_Data2[[#This Row],[Tx_Count_30D]]/tbl_Data2[[#This Row],[Avg_Tx_Count_6M]],0)</f>
        <v>0.125</v>
      </c>
      <c r="J79">
        <f>IFERROR(tbl_Data2[[#This Row],[Total_Amount_30D]]/tbl_Data2[[#This Row],[Avg_Total_Amount_6M]],0)</f>
        <v>1.6624684040791424</v>
      </c>
      <c r="K79">
        <f>_xlfn.XLOOKUP(tbl_Data2[[#This Row],[Country]], Geo_Map[Country], Geo_Map[Score], 5)</f>
        <v>8</v>
      </c>
      <c r="L79" cm="1">
        <f t="array" ref="L79">_xlfn.IFS(tbl_Data2[[#This Row],[Tx_Count_30D]]&lt;=5,2,tbl_Data2[[#This Row],[Tx_Count_30D]]&lt;=15,5,tbl_Data2[[#This Row],[Tx_Count_30D]]&lt;=30,7,tbl_Data2[[#This Row],[Tx_Count_30D]]&gt;30,9)</f>
        <v>2</v>
      </c>
      <c r="M79" cm="1">
        <f t="array" ref="M79">_xlfn.IFS(
tbl_Data2[[#This Row],[Total_Amount_30D]]&lt;10000,2,
tbl_Data2[[#This Row],[Total_Amount_30D]]&lt;25000,5,
tbl_Data2[[#This Row],[Total_Amount_30D]]&lt;50000,7,
tbl_Data2[[#This Row],[Total_Amount_30D]]&gt;=50000,9
)</f>
        <v>9</v>
      </c>
      <c r="N79" cm="1">
        <f t="array" ref="N79">_xlfn.IFS(
tbl_Data2[[#This Row],[Amount_Deviation]]&lt;1.5,2,
tbl_Data2[[#This Row],[Amount_Deviation]]&lt;3,6,
tbl_Data2[[#This Row],[Amount_Deviation]]&lt;6,8,
tbl_Data2[[#This Row],[Amount_Deviation]]&gt;=6,10
)</f>
        <v>6</v>
      </c>
      <c r="O79">
        <f>ROUND(
    (tbl_Data2[[#This Row],[Geo_Score]]*0.2) +
    (tbl_Data2[[#This Row],[Velocity_Score]]*0.25) +
    (tbl_Data2[[#This Row],[Volume_Score]]*0.25) +
    (tbl_Data2[[#This Row],[Deviation_Score]]*0.3),
1
)</f>
        <v>6.2</v>
      </c>
      <c r="P79" t="str" cm="1">
        <f t="array" ref="P79">_xlfn.IFS(
tbl_Data2[[#This Row],[Final_Risk_Score]]&lt;5.5,"Low",
tbl_Data2[[#This Row],[Final_Risk_Score]]&lt;7.5,"Medium",
tbl_Data2[[#This Row],[Final_Risk_Score]]&gt;=7.5,"High"
)</f>
        <v>Medium</v>
      </c>
      <c r="Q79" t="str" cm="1">
        <f t="array" ref="Q79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80" spans="1:17" hidden="1">
      <c r="A80" t="str">
        <f>tbl_data[[#This Row],[Customer_ID]]</f>
        <v>CUST-079</v>
      </c>
      <c r="B80" t="str">
        <f>tbl_data[[#This Row],[Customer_Type]]</f>
        <v>Business</v>
      </c>
      <c r="C80" t="str">
        <f>tbl_data[[#This Row],[Country]]</f>
        <v>Hong Kong</v>
      </c>
      <c r="D80" t="str">
        <f>tbl_data[[#This Row],[Industry]]</f>
        <v>Consulting</v>
      </c>
      <c r="E80">
        <f>tbl_data[[#This Row],[Tx_Count_30D]]</f>
        <v>41</v>
      </c>
      <c r="F80">
        <f>tbl_data[[#This Row],[Total_Amount_30D]]</f>
        <v>88364</v>
      </c>
      <c r="G80">
        <f>tbl_data[[#This Row],[Avg_Tx_Count_6M]]</f>
        <v>36</v>
      </c>
      <c r="H80">
        <f>tbl_data[[#This Row],[Avg_Total_Amount_6M]]</f>
        <v>45909</v>
      </c>
      <c r="I80">
        <f>IFERROR(tbl_Data2[[#This Row],[Tx_Count_30D]]/tbl_Data2[[#This Row],[Avg_Tx_Count_6M]],0)</f>
        <v>1.1388888888888888</v>
      </c>
      <c r="J80">
        <f>IFERROR(tbl_Data2[[#This Row],[Total_Amount_30D]]/tbl_Data2[[#This Row],[Avg_Total_Amount_6M]],0)</f>
        <v>1.9247642074538762</v>
      </c>
      <c r="K80">
        <f>_xlfn.XLOOKUP(tbl_Data2[[#This Row],[Country]], Geo_Map[Country], Geo_Map[Score], 5)</f>
        <v>6</v>
      </c>
      <c r="L80" cm="1">
        <f t="array" ref="L80">_xlfn.IFS(tbl_Data2[[#This Row],[Tx_Count_30D]]&lt;=5,2,tbl_Data2[[#This Row],[Tx_Count_30D]]&lt;=15,5,tbl_Data2[[#This Row],[Tx_Count_30D]]&lt;=30,7,tbl_Data2[[#This Row],[Tx_Count_30D]]&gt;30,9)</f>
        <v>9</v>
      </c>
      <c r="M80" cm="1">
        <f t="array" ref="M80">_xlfn.IFS(
tbl_Data2[[#This Row],[Total_Amount_30D]]&lt;10000,2,
tbl_Data2[[#This Row],[Total_Amount_30D]]&lt;25000,5,
tbl_Data2[[#This Row],[Total_Amount_30D]]&lt;50000,7,
tbl_Data2[[#This Row],[Total_Amount_30D]]&gt;=50000,9
)</f>
        <v>9</v>
      </c>
      <c r="N80" cm="1">
        <f t="array" ref="N80">_xlfn.IFS(
tbl_Data2[[#This Row],[Amount_Deviation]]&lt;1.5,2,
tbl_Data2[[#This Row],[Amount_Deviation]]&lt;3,6,
tbl_Data2[[#This Row],[Amount_Deviation]]&lt;6,8,
tbl_Data2[[#This Row],[Amount_Deviation]]&gt;=6,10
)</f>
        <v>6</v>
      </c>
      <c r="O80">
        <f>ROUND(
    (tbl_Data2[[#This Row],[Geo_Score]]*0.2) +
    (tbl_Data2[[#This Row],[Velocity_Score]]*0.25) +
    (tbl_Data2[[#This Row],[Volume_Score]]*0.25) +
    (tbl_Data2[[#This Row],[Deviation_Score]]*0.3),
1
)</f>
        <v>7.5</v>
      </c>
      <c r="P80" t="str" cm="1">
        <f t="array" ref="P80">_xlfn.IFS(
tbl_Data2[[#This Row],[Final_Risk_Score]]&lt;5.5,"Low",
tbl_Data2[[#This Row],[Final_Risk_Score]]&lt;7.5,"Medium",
tbl_Data2[[#This Row],[Final_Risk_Score]]&gt;=7.5,"High"
)</f>
        <v>High</v>
      </c>
      <c r="Q80" t="str" cm="1">
        <f t="array" ref="Q80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81" spans="1:17" hidden="1">
      <c r="A81" t="str">
        <f>tbl_data[[#This Row],[Customer_ID]]</f>
        <v>CUST-080</v>
      </c>
      <c r="B81" t="str">
        <f>tbl_data[[#This Row],[Customer_Type]]</f>
        <v>Business</v>
      </c>
      <c r="C81" t="str">
        <f>tbl_data[[#This Row],[Country]]</f>
        <v>Hong Kong</v>
      </c>
      <c r="D81" t="str">
        <f>tbl_data[[#This Row],[Industry]]</f>
        <v>IT Services</v>
      </c>
      <c r="E81">
        <f>tbl_data[[#This Row],[Tx_Count_30D]]</f>
        <v>57</v>
      </c>
      <c r="F81">
        <f>tbl_data[[#This Row],[Total_Amount_30D]]</f>
        <v>96515</v>
      </c>
      <c r="G81">
        <f>tbl_data[[#This Row],[Avg_Tx_Count_6M]]</f>
        <v>21</v>
      </c>
      <c r="H81">
        <f>tbl_data[[#This Row],[Avg_Total_Amount_6M]]</f>
        <v>55620</v>
      </c>
      <c r="I81">
        <f>IFERROR(tbl_Data2[[#This Row],[Tx_Count_30D]]/tbl_Data2[[#This Row],[Avg_Tx_Count_6M]],0)</f>
        <v>2.7142857142857144</v>
      </c>
      <c r="J81">
        <f>IFERROR(tbl_Data2[[#This Row],[Total_Amount_30D]]/tbl_Data2[[#This Row],[Avg_Total_Amount_6M]],0)</f>
        <v>1.735257101761956</v>
      </c>
      <c r="K81">
        <f>_xlfn.XLOOKUP(tbl_Data2[[#This Row],[Country]], Geo_Map[Country], Geo_Map[Score], 5)</f>
        <v>6</v>
      </c>
      <c r="L81" cm="1">
        <f t="array" ref="L81">_xlfn.IFS(tbl_Data2[[#This Row],[Tx_Count_30D]]&lt;=5,2,tbl_Data2[[#This Row],[Tx_Count_30D]]&lt;=15,5,tbl_Data2[[#This Row],[Tx_Count_30D]]&lt;=30,7,tbl_Data2[[#This Row],[Tx_Count_30D]]&gt;30,9)</f>
        <v>9</v>
      </c>
      <c r="M81" cm="1">
        <f t="array" ref="M81">_xlfn.IFS(
tbl_Data2[[#This Row],[Total_Amount_30D]]&lt;10000,2,
tbl_Data2[[#This Row],[Total_Amount_30D]]&lt;25000,5,
tbl_Data2[[#This Row],[Total_Amount_30D]]&lt;50000,7,
tbl_Data2[[#This Row],[Total_Amount_30D]]&gt;=50000,9
)</f>
        <v>9</v>
      </c>
      <c r="N81" cm="1">
        <f t="array" ref="N81">_xlfn.IFS(
tbl_Data2[[#This Row],[Amount_Deviation]]&lt;1.5,2,
tbl_Data2[[#This Row],[Amount_Deviation]]&lt;3,6,
tbl_Data2[[#This Row],[Amount_Deviation]]&lt;6,8,
tbl_Data2[[#This Row],[Amount_Deviation]]&gt;=6,10
)</f>
        <v>6</v>
      </c>
      <c r="O81">
        <f>ROUND(
    (tbl_Data2[[#This Row],[Geo_Score]]*0.2) +
    (tbl_Data2[[#This Row],[Velocity_Score]]*0.25) +
    (tbl_Data2[[#This Row],[Volume_Score]]*0.25) +
    (tbl_Data2[[#This Row],[Deviation_Score]]*0.3),
1
)</f>
        <v>7.5</v>
      </c>
      <c r="P81" t="str" cm="1">
        <f t="array" ref="P81">_xlfn.IFS(
tbl_Data2[[#This Row],[Final_Risk_Score]]&lt;5.5,"Low",
tbl_Data2[[#This Row],[Final_Risk_Score]]&lt;7.5,"Medium",
tbl_Data2[[#This Row],[Final_Risk_Score]]&gt;=7.5,"High"
)</f>
        <v>High</v>
      </c>
      <c r="Q81" t="str" cm="1">
        <f t="array" ref="Q81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82" spans="1:17" hidden="1">
      <c r="A82" t="str">
        <f>tbl_data[[#This Row],[Customer_ID]]</f>
        <v>CUST-081</v>
      </c>
      <c r="B82" t="str">
        <f>tbl_data[[#This Row],[Customer_Type]]</f>
        <v>Business</v>
      </c>
      <c r="C82" t="str">
        <f>tbl_data[[#This Row],[Country]]</f>
        <v>BVI</v>
      </c>
      <c r="D82" t="str">
        <f>tbl_data[[#This Row],[Industry]]</f>
        <v>Consulting</v>
      </c>
      <c r="E82">
        <f>tbl_data[[#This Row],[Tx_Count_30D]]</f>
        <v>49</v>
      </c>
      <c r="F82">
        <f>tbl_data[[#This Row],[Total_Amount_30D]]</f>
        <v>93151</v>
      </c>
      <c r="G82">
        <f>tbl_data[[#This Row],[Avg_Tx_Count_6M]]</f>
        <v>28</v>
      </c>
      <c r="H82">
        <f>tbl_data[[#This Row],[Avg_Total_Amount_6M]]</f>
        <v>44498</v>
      </c>
      <c r="I82">
        <f>IFERROR(tbl_Data2[[#This Row],[Tx_Count_30D]]/tbl_Data2[[#This Row],[Avg_Tx_Count_6M]],0)</f>
        <v>1.75</v>
      </c>
      <c r="J82">
        <f>IFERROR(tbl_Data2[[#This Row],[Total_Amount_30D]]/tbl_Data2[[#This Row],[Avg_Total_Amount_6M]],0)</f>
        <v>2.0933749831453099</v>
      </c>
      <c r="K82">
        <f>_xlfn.XLOOKUP(tbl_Data2[[#This Row],[Country]], Geo_Map[Country], Geo_Map[Score], 5)</f>
        <v>9</v>
      </c>
      <c r="L82" cm="1">
        <f t="array" ref="L82">_xlfn.IFS(tbl_Data2[[#This Row],[Tx_Count_30D]]&lt;=5,2,tbl_Data2[[#This Row],[Tx_Count_30D]]&lt;=15,5,tbl_Data2[[#This Row],[Tx_Count_30D]]&lt;=30,7,tbl_Data2[[#This Row],[Tx_Count_30D]]&gt;30,9)</f>
        <v>9</v>
      </c>
      <c r="M82" cm="1">
        <f t="array" ref="M82">_xlfn.IFS(
tbl_Data2[[#This Row],[Total_Amount_30D]]&lt;10000,2,
tbl_Data2[[#This Row],[Total_Amount_30D]]&lt;25000,5,
tbl_Data2[[#This Row],[Total_Amount_30D]]&lt;50000,7,
tbl_Data2[[#This Row],[Total_Amount_30D]]&gt;=50000,9
)</f>
        <v>9</v>
      </c>
      <c r="N82" cm="1">
        <f t="array" ref="N82">_xlfn.IFS(
tbl_Data2[[#This Row],[Amount_Deviation]]&lt;1.5,2,
tbl_Data2[[#This Row],[Amount_Deviation]]&lt;3,6,
tbl_Data2[[#This Row],[Amount_Deviation]]&lt;6,8,
tbl_Data2[[#This Row],[Amount_Deviation]]&gt;=6,10
)</f>
        <v>6</v>
      </c>
      <c r="O82">
        <f>ROUND(
    (tbl_Data2[[#This Row],[Geo_Score]]*0.2) +
    (tbl_Data2[[#This Row],[Velocity_Score]]*0.25) +
    (tbl_Data2[[#This Row],[Volume_Score]]*0.25) +
    (tbl_Data2[[#This Row],[Deviation_Score]]*0.3),
1
)</f>
        <v>8.1</v>
      </c>
      <c r="P82" t="str" cm="1">
        <f t="array" ref="P82">_xlfn.IFS(
tbl_Data2[[#This Row],[Final_Risk_Score]]&lt;5.5,"Low",
tbl_Data2[[#This Row],[Final_Risk_Score]]&lt;7.5,"Medium",
tbl_Data2[[#This Row],[Final_Risk_Score]]&gt;=7.5,"High"
)</f>
        <v>High</v>
      </c>
      <c r="Q82" t="str" cm="1">
        <f t="array" ref="Q82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83" spans="1:17">
      <c r="A83" t="str">
        <f>tbl_data[[#This Row],[Customer_ID]]</f>
        <v>CUST-082</v>
      </c>
      <c r="B83" t="str">
        <f>tbl_data[[#This Row],[Customer_Type]]</f>
        <v>Business</v>
      </c>
      <c r="C83" t="str">
        <f>tbl_data[[#This Row],[Country]]</f>
        <v>Panama</v>
      </c>
      <c r="D83" t="str">
        <f>tbl_data[[#This Row],[Industry]]</f>
        <v>Trading</v>
      </c>
      <c r="E83">
        <f>tbl_data[[#This Row],[Tx_Count_30D]]</f>
        <v>20</v>
      </c>
      <c r="F83">
        <f>tbl_data[[#This Row],[Total_Amount_30D]]</f>
        <v>44826</v>
      </c>
      <c r="G83">
        <f>tbl_data[[#This Row],[Avg_Tx_Count_6M]]</f>
        <v>15</v>
      </c>
      <c r="H83">
        <f>tbl_data[[#This Row],[Avg_Total_Amount_6M]]</f>
        <v>47239</v>
      </c>
      <c r="I83">
        <f>IFERROR(tbl_Data2[[#This Row],[Tx_Count_30D]]/tbl_Data2[[#This Row],[Avg_Tx_Count_6M]],0)</f>
        <v>1.3333333333333333</v>
      </c>
      <c r="J83">
        <f>IFERROR(tbl_Data2[[#This Row],[Total_Amount_30D]]/tbl_Data2[[#This Row],[Avg_Total_Amount_6M]],0)</f>
        <v>0.94891932513389365</v>
      </c>
      <c r="K83">
        <f>_xlfn.XLOOKUP(tbl_Data2[[#This Row],[Country]], Geo_Map[Country], Geo_Map[Score], 5)</f>
        <v>8</v>
      </c>
      <c r="L83" cm="1">
        <f t="array" ref="L83">_xlfn.IFS(tbl_Data2[[#This Row],[Tx_Count_30D]]&lt;=5,2,tbl_Data2[[#This Row],[Tx_Count_30D]]&lt;=15,5,tbl_Data2[[#This Row],[Tx_Count_30D]]&lt;=30,7,tbl_Data2[[#This Row],[Tx_Count_30D]]&gt;30,9)</f>
        <v>7</v>
      </c>
      <c r="M83" cm="1">
        <f t="array" ref="M83">_xlfn.IFS(
tbl_Data2[[#This Row],[Total_Amount_30D]]&lt;10000,2,
tbl_Data2[[#This Row],[Total_Amount_30D]]&lt;25000,5,
tbl_Data2[[#This Row],[Total_Amount_30D]]&lt;50000,7,
tbl_Data2[[#This Row],[Total_Amount_30D]]&gt;=50000,9
)</f>
        <v>7</v>
      </c>
      <c r="N83" cm="1">
        <f t="array" ref="N83">_xlfn.IFS(
tbl_Data2[[#This Row],[Amount_Deviation]]&lt;1.5,2,
tbl_Data2[[#This Row],[Amount_Deviation]]&lt;3,6,
tbl_Data2[[#This Row],[Amount_Deviation]]&lt;6,8,
tbl_Data2[[#This Row],[Amount_Deviation]]&gt;=6,10
)</f>
        <v>2</v>
      </c>
      <c r="O83">
        <f>ROUND(
    (tbl_Data2[[#This Row],[Geo_Score]]*0.2) +
    (tbl_Data2[[#This Row],[Velocity_Score]]*0.25) +
    (tbl_Data2[[#This Row],[Volume_Score]]*0.25) +
    (tbl_Data2[[#This Row],[Deviation_Score]]*0.3),
1
)</f>
        <v>5.7</v>
      </c>
      <c r="P83" t="str" cm="1">
        <f t="array" ref="P83">_xlfn.IFS(
tbl_Data2[[#This Row],[Final_Risk_Score]]&lt;5.5,"Low",
tbl_Data2[[#This Row],[Final_Risk_Score]]&lt;7.5,"Medium",
tbl_Data2[[#This Row],[Final_Risk_Score]]&gt;=7.5,"High"
)</f>
        <v>Medium</v>
      </c>
      <c r="Q83" t="str" cm="1">
        <f t="array" ref="Q83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84" spans="1:17" hidden="1">
      <c r="A84" t="str">
        <f>tbl_data[[#This Row],[Customer_ID]]</f>
        <v>CUST-083</v>
      </c>
      <c r="B84" t="str">
        <f>tbl_data[[#This Row],[Customer_Type]]</f>
        <v>Business</v>
      </c>
      <c r="C84" t="str">
        <f>tbl_data[[#This Row],[Country]]</f>
        <v>Panama</v>
      </c>
      <c r="D84" t="str">
        <f>tbl_data[[#This Row],[Industry]]</f>
        <v>Trading</v>
      </c>
      <c r="E84">
        <f>tbl_data[[#This Row],[Tx_Count_30D]]</f>
        <v>32</v>
      </c>
      <c r="F84">
        <f>tbl_data[[#This Row],[Total_Amount_30D]]</f>
        <v>108850</v>
      </c>
      <c r="G84">
        <f>tbl_data[[#This Row],[Avg_Tx_Count_6M]]</f>
        <v>15</v>
      </c>
      <c r="H84">
        <f>tbl_data[[#This Row],[Avg_Total_Amount_6M]]</f>
        <v>50321</v>
      </c>
      <c r="I84">
        <f>IFERROR(tbl_Data2[[#This Row],[Tx_Count_30D]]/tbl_Data2[[#This Row],[Avg_Tx_Count_6M]],0)</f>
        <v>2.1333333333333333</v>
      </c>
      <c r="J84">
        <f>IFERROR(tbl_Data2[[#This Row],[Total_Amount_30D]]/tbl_Data2[[#This Row],[Avg_Total_Amount_6M]],0)</f>
        <v>2.1631128157230579</v>
      </c>
      <c r="K84">
        <f>_xlfn.XLOOKUP(tbl_Data2[[#This Row],[Country]], Geo_Map[Country], Geo_Map[Score], 5)</f>
        <v>8</v>
      </c>
      <c r="L84" cm="1">
        <f t="array" ref="L84">_xlfn.IFS(tbl_Data2[[#This Row],[Tx_Count_30D]]&lt;=5,2,tbl_Data2[[#This Row],[Tx_Count_30D]]&lt;=15,5,tbl_Data2[[#This Row],[Tx_Count_30D]]&lt;=30,7,tbl_Data2[[#This Row],[Tx_Count_30D]]&gt;30,9)</f>
        <v>9</v>
      </c>
      <c r="M84" cm="1">
        <f t="array" ref="M84">_xlfn.IFS(
tbl_Data2[[#This Row],[Total_Amount_30D]]&lt;10000,2,
tbl_Data2[[#This Row],[Total_Amount_30D]]&lt;25000,5,
tbl_Data2[[#This Row],[Total_Amount_30D]]&lt;50000,7,
tbl_Data2[[#This Row],[Total_Amount_30D]]&gt;=50000,9
)</f>
        <v>9</v>
      </c>
      <c r="N84" cm="1">
        <f t="array" ref="N84">_xlfn.IFS(
tbl_Data2[[#This Row],[Amount_Deviation]]&lt;1.5,2,
tbl_Data2[[#This Row],[Amount_Deviation]]&lt;3,6,
tbl_Data2[[#This Row],[Amount_Deviation]]&lt;6,8,
tbl_Data2[[#This Row],[Amount_Deviation]]&gt;=6,10
)</f>
        <v>6</v>
      </c>
      <c r="O84">
        <f>ROUND(
    (tbl_Data2[[#This Row],[Geo_Score]]*0.2) +
    (tbl_Data2[[#This Row],[Velocity_Score]]*0.25) +
    (tbl_Data2[[#This Row],[Volume_Score]]*0.25) +
    (tbl_Data2[[#This Row],[Deviation_Score]]*0.3),
1
)</f>
        <v>7.9</v>
      </c>
      <c r="P84" t="str" cm="1">
        <f t="array" ref="P84">_xlfn.IFS(
tbl_Data2[[#This Row],[Final_Risk_Score]]&lt;5.5,"Low",
tbl_Data2[[#This Row],[Final_Risk_Score]]&lt;7.5,"Medium",
tbl_Data2[[#This Row],[Final_Risk_Score]]&gt;=7.5,"High"
)</f>
        <v>High</v>
      </c>
      <c r="Q84" t="str" cm="1">
        <f t="array" ref="Q84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85" spans="1:17">
      <c r="A85" t="str">
        <f>tbl_data[[#This Row],[Customer_ID]]</f>
        <v>CUST-084</v>
      </c>
      <c r="B85" t="str">
        <f>tbl_data[[#This Row],[Customer_Type]]</f>
        <v>Business</v>
      </c>
      <c r="C85" t="str">
        <f>tbl_data[[#This Row],[Country]]</f>
        <v>BVI</v>
      </c>
      <c r="D85" t="str">
        <f>tbl_data[[#This Row],[Industry]]</f>
        <v>Logistics</v>
      </c>
      <c r="E85">
        <f>tbl_data[[#This Row],[Tx_Count_30D]]</f>
        <v>48</v>
      </c>
      <c r="F85">
        <f>tbl_data[[#This Row],[Total_Amount_30D]]</f>
        <v>14905</v>
      </c>
      <c r="G85">
        <f>tbl_data[[#This Row],[Avg_Tx_Count_6M]]</f>
        <v>29</v>
      </c>
      <c r="H85">
        <f>tbl_data[[#This Row],[Avg_Total_Amount_6M]]</f>
        <v>73217</v>
      </c>
      <c r="I85">
        <f>IFERROR(tbl_Data2[[#This Row],[Tx_Count_30D]]/tbl_Data2[[#This Row],[Avg_Tx_Count_6M]],0)</f>
        <v>1.6551724137931034</v>
      </c>
      <c r="J85">
        <f>IFERROR(tbl_Data2[[#This Row],[Total_Amount_30D]]/tbl_Data2[[#This Row],[Avg_Total_Amount_6M]],0)</f>
        <v>0.20357294071049073</v>
      </c>
      <c r="K85">
        <f>_xlfn.XLOOKUP(tbl_Data2[[#This Row],[Country]], Geo_Map[Country], Geo_Map[Score], 5)</f>
        <v>9</v>
      </c>
      <c r="L85" cm="1">
        <f t="array" ref="L85">_xlfn.IFS(tbl_Data2[[#This Row],[Tx_Count_30D]]&lt;=5,2,tbl_Data2[[#This Row],[Tx_Count_30D]]&lt;=15,5,tbl_Data2[[#This Row],[Tx_Count_30D]]&lt;=30,7,tbl_Data2[[#This Row],[Tx_Count_30D]]&gt;30,9)</f>
        <v>9</v>
      </c>
      <c r="M85" cm="1">
        <f t="array" ref="M85">_xlfn.IFS(
tbl_Data2[[#This Row],[Total_Amount_30D]]&lt;10000,2,
tbl_Data2[[#This Row],[Total_Amount_30D]]&lt;25000,5,
tbl_Data2[[#This Row],[Total_Amount_30D]]&lt;50000,7,
tbl_Data2[[#This Row],[Total_Amount_30D]]&gt;=50000,9
)</f>
        <v>5</v>
      </c>
      <c r="N85" cm="1">
        <f t="array" ref="N85">_xlfn.IFS(
tbl_Data2[[#This Row],[Amount_Deviation]]&lt;1.5,2,
tbl_Data2[[#This Row],[Amount_Deviation]]&lt;3,6,
tbl_Data2[[#This Row],[Amount_Deviation]]&lt;6,8,
tbl_Data2[[#This Row],[Amount_Deviation]]&gt;=6,10
)</f>
        <v>2</v>
      </c>
      <c r="O85">
        <f>ROUND(
    (tbl_Data2[[#This Row],[Geo_Score]]*0.2) +
    (tbl_Data2[[#This Row],[Velocity_Score]]*0.25) +
    (tbl_Data2[[#This Row],[Volume_Score]]*0.25) +
    (tbl_Data2[[#This Row],[Deviation_Score]]*0.3),
1
)</f>
        <v>5.9</v>
      </c>
      <c r="P85" t="str" cm="1">
        <f t="array" ref="P85">_xlfn.IFS(
tbl_Data2[[#This Row],[Final_Risk_Score]]&lt;5.5,"Low",
tbl_Data2[[#This Row],[Final_Risk_Score]]&lt;7.5,"Medium",
tbl_Data2[[#This Row],[Final_Risk_Score]]&gt;=7.5,"High"
)</f>
        <v>Medium</v>
      </c>
      <c r="Q85" t="str" cm="1">
        <f t="array" ref="Q85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86" spans="1:17">
      <c r="A86" t="str">
        <f>tbl_data[[#This Row],[Customer_ID]]</f>
        <v>CUST-085</v>
      </c>
      <c r="B86" t="str">
        <f>tbl_data[[#This Row],[Customer_Type]]</f>
        <v>Business</v>
      </c>
      <c r="C86" t="str">
        <f>tbl_data[[#This Row],[Country]]</f>
        <v>Cyprus</v>
      </c>
      <c r="D86" t="str">
        <f>tbl_data[[#This Row],[Industry]]</f>
        <v>Consulting</v>
      </c>
      <c r="E86">
        <f>tbl_data[[#This Row],[Tx_Count_30D]]</f>
        <v>31</v>
      </c>
      <c r="F86">
        <f>tbl_data[[#This Row],[Total_Amount_30D]]</f>
        <v>42469</v>
      </c>
      <c r="G86">
        <f>tbl_data[[#This Row],[Avg_Tx_Count_6M]]</f>
        <v>16</v>
      </c>
      <c r="H86">
        <f>tbl_data[[#This Row],[Avg_Total_Amount_6M]]</f>
        <v>42566</v>
      </c>
      <c r="I86">
        <f>IFERROR(tbl_Data2[[#This Row],[Tx_Count_30D]]/tbl_Data2[[#This Row],[Avg_Tx_Count_6M]],0)</f>
        <v>1.9375</v>
      </c>
      <c r="J86">
        <f>IFERROR(tbl_Data2[[#This Row],[Total_Amount_30D]]/tbl_Data2[[#This Row],[Avg_Total_Amount_6M]],0)</f>
        <v>0.99772118592303716</v>
      </c>
      <c r="K86">
        <f>_xlfn.XLOOKUP(tbl_Data2[[#This Row],[Country]], Geo_Map[Country], Geo_Map[Score], 5)</f>
        <v>7</v>
      </c>
      <c r="L86" cm="1">
        <f t="array" ref="L86">_xlfn.IFS(tbl_Data2[[#This Row],[Tx_Count_30D]]&lt;=5,2,tbl_Data2[[#This Row],[Tx_Count_30D]]&lt;=15,5,tbl_Data2[[#This Row],[Tx_Count_30D]]&lt;=30,7,tbl_Data2[[#This Row],[Tx_Count_30D]]&gt;30,9)</f>
        <v>9</v>
      </c>
      <c r="M86" cm="1">
        <f t="array" ref="M86">_xlfn.IFS(
tbl_Data2[[#This Row],[Total_Amount_30D]]&lt;10000,2,
tbl_Data2[[#This Row],[Total_Amount_30D]]&lt;25000,5,
tbl_Data2[[#This Row],[Total_Amount_30D]]&lt;50000,7,
tbl_Data2[[#This Row],[Total_Amount_30D]]&gt;=50000,9
)</f>
        <v>7</v>
      </c>
      <c r="N86" cm="1">
        <f t="array" ref="N86">_xlfn.IFS(
tbl_Data2[[#This Row],[Amount_Deviation]]&lt;1.5,2,
tbl_Data2[[#This Row],[Amount_Deviation]]&lt;3,6,
tbl_Data2[[#This Row],[Amount_Deviation]]&lt;6,8,
tbl_Data2[[#This Row],[Amount_Deviation]]&gt;=6,10
)</f>
        <v>2</v>
      </c>
      <c r="O86">
        <f>ROUND(
    (tbl_Data2[[#This Row],[Geo_Score]]*0.2) +
    (tbl_Data2[[#This Row],[Velocity_Score]]*0.25) +
    (tbl_Data2[[#This Row],[Volume_Score]]*0.25) +
    (tbl_Data2[[#This Row],[Deviation_Score]]*0.3),
1
)</f>
        <v>6</v>
      </c>
      <c r="P86" t="str" cm="1">
        <f t="array" ref="P86">_xlfn.IFS(
tbl_Data2[[#This Row],[Final_Risk_Score]]&lt;5.5,"Low",
tbl_Data2[[#This Row],[Final_Risk_Score]]&lt;7.5,"Medium",
tbl_Data2[[#This Row],[Final_Risk_Score]]&gt;=7.5,"High"
)</f>
        <v>Medium</v>
      </c>
      <c r="Q86" t="str" cm="1">
        <f t="array" ref="Q86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87" spans="1:17">
      <c r="A87" t="str">
        <f>tbl_data[[#This Row],[Customer_ID]]</f>
        <v>CUST-086</v>
      </c>
      <c r="B87" t="str">
        <f>tbl_data[[#This Row],[Customer_Type]]</f>
        <v>Individual</v>
      </c>
      <c r="C87" t="str">
        <f>tbl_data[[#This Row],[Country]]</f>
        <v>Cyprus</v>
      </c>
      <c r="D87" t="str">
        <f>tbl_data[[#This Row],[Industry]]</f>
        <v>Trading</v>
      </c>
      <c r="E87">
        <f>tbl_data[[#This Row],[Tx_Count_30D]]</f>
        <v>26</v>
      </c>
      <c r="F87">
        <f>tbl_data[[#This Row],[Total_Amount_30D]]</f>
        <v>85083</v>
      </c>
      <c r="G87">
        <f>tbl_data[[#This Row],[Avg_Tx_Count_6M]]</f>
        <v>37</v>
      </c>
      <c r="H87">
        <f>tbl_data[[#This Row],[Avg_Total_Amount_6M]]</f>
        <v>63352</v>
      </c>
      <c r="I87">
        <f>IFERROR(tbl_Data2[[#This Row],[Tx_Count_30D]]/tbl_Data2[[#This Row],[Avg_Tx_Count_6M]],0)</f>
        <v>0.70270270270270274</v>
      </c>
      <c r="J87">
        <f>IFERROR(tbl_Data2[[#This Row],[Total_Amount_30D]]/tbl_Data2[[#This Row],[Avg_Total_Amount_6M]],0)</f>
        <v>1.3430199520141433</v>
      </c>
      <c r="K87">
        <f>_xlfn.XLOOKUP(tbl_Data2[[#This Row],[Country]], Geo_Map[Country], Geo_Map[Score], 5)</f>
        <v>7</v>
      </c>
      <c r="L87" cm="1">
        <f t="array" ref="L87">_xlfn.IFS(tbl_Data2[[#This Row],[Tx_Count_30D]]&lt;=5,2,tbl_Data2[[#This Row],[Tx_Count_30D]]&lt;=15,5,tbl_Data2[[#This Row],[Tx_Count_30D]]&lt;=30,7,tbl_Data2[[#This Row],[Tx_Count_30D]]&gt;30,9)</f>
        <v>7</v>
      </c>
      <c r="M87" cm="1">
        <f t="array" ref="M87">_xlfn.IFS(
tbl_Data2[[#This Row],[Total_Amount_30D]]&lt;10000,2,
tbl_Data2[[#This Row],[Total_Amount_30D]]&lt;25000,5,
tbl_Data2[[#This Row],[Total_Amount_30D]]&lt;50000,7,
tbl_Data2[[#This Row],[Total_Amount_30D]]&gt;=50000,9
)</f>
        <v>9</v>
      </c>
      <c r="N87" cm="1">
        <f t="array" ref="N87">_xlfn.IFS(
tbl_Data2[[#This Row],[Amount_Deviation]]&lt;1.5,2,
tbl_Data2[[#This Row],[Amount_Deviation]]&lt;3,6,
tbl_Data2[[#This Row],[Amount_Deviation]]&lt;6,8,
tbl_Data2[[#This Row],[Amount_Deviation]]&gt;=6,10
)</f>
        <v>2</v>
      </c>
      <c r="O87">
        <f>ROUND(
    (tbl_Data2[[#This Row],[Geo_Score]]*0.2) +
    (tbl_Data2[[#This Row],[Velocity_Score]]*0.25) +
    (tbl_Data2[[#This Row],[Volume_Score]]*0.25) +
    (tbl_Data2[[#This Row],[Deviation_Score]]*0.3),
1
)</f>
        <v>6</v>
      </c>
      <c r="P87" t="str" cm="1">
        <f t="array" ref="P87">_xlfn.IFS(
tbl_Data2[[#This Row],[Final_Risk_Score]]&lt;5.5,"Low",
tbl_Data2[[#This Row],[Final_Risk_Score]]&lt;7.5,"Medium",
tbl_Data2[[#This Row],[Final_Risk_Score]]&gt;=7.5,"High"
)</f>
        <v>Medium</v>
      </c>
      <c r="Q87" t="str" cm="1">
        <f t="array" ref="Q87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88" spans="1:17" hidden="1">
      <c r="A88" t="str">
        <f>tbl_data[[#This Row],[Customer_ID]]</f>
        <v>CUST-087</v>
      </c>
      <c r="B88" t="str">
        <f>tbl_data[[#This Row],[Customer_Type]]</f>
        <v>Business</v>
      </c>
      <c r="C88" t="str">
        <f>tbl_data[[#This Row],[Country]]</f>
        <v>Seychelles</v>
      </c>
      <c r="D88" t="str">
        <f>tbl_data[[#This Row],[Industry]]</f>
        <v>Trading</v>
      </c>
      <c r="E88">
        <f>tbl_data[[#This Row],[Tx_Count_30D]]</f>
        <v>38</v>
      </c>
      <c r="F88">
        <f>tbl_data[[#This Row],[Total_Amount_30D]]</f>
        <v>79042</v>
      </c>
      <c r="G88">
        <f>tbl_data[[#This Row],[Avg_Tx_Count_6M]]</f>
        <v>14</v>
      </c>
      <c r="H88">
        <f>tbl_data[[#This Row],[Avg_Total_Amount_6M]]</f>
        <v>27218</v>
      </c>
      <c r="I88">
        <f>IFERROR(tbl_Data2[[#This Row],[Tx_Count_30D]]/tbl_Data2[[#This Row],[Avg_Tx_Count_6M]],0)</f>
        <v>2.7142857142857144</v>
      </c>
      <c r="J88">
        <f>IFERROR(tbl_Data2[[#This Row],[Total_Amount_30D]]/tbl_Data2[[#This Row],[Avg_Total_Amount_6M]],0)</f>
        <v>2.9040340950841355</v>
      </c>
      <c r="K88">
        <f>_xlfn.XLOOKUP(tbl_Data2[[#This Row],[Country]], Geo_Map[Country], Geo_Map[Score], 5)</f>
        <v>9</v>
      </c>
      <c r="L88" cm="1">
        <f t="array" ref="L88">_xlfn.IFS(tbl_Data2[[#This Row],[Tx_Count_30D]]&lt;=5,2,tbl_Data2[[#This Row],[Tx_Count_30D]]&lt;=15,5,tbl_Data2[[#This Row],[Tx_Count_30D]]&lt;=30,7,tbl_Data2[[#This Row],[Tx_Count_30D]]&gt;30,9)</f>
        <v>9</v>
      </c>
      <c r="M88" cm="1">
        <f t="array" ref="M88">_xlfn.IFS(
tbl_Data2[[#This Row],[Total_Amount_30D]]&lt;10000,2,
tbl_Data2[[#This Row],[Total_Amount_30D]]&lt;25000,5,
tbl_Data2[[#This Row],[Total_Amount_30D]]&lt;50000,7,
tbl_Data2[[#This Row],[Total_Amount_30D]]&gt;=50000,9
)</f>
        <v>9</v>
      </c>
      <c r="N88" cm="1">
        <f t="array" ref="N88">_xlfn.IFS(
tbl_Data2[[#This Row],[Amount_Deviation]]&lt;1.5,2,
tbl_Data2[[#This Row],[Amount_Deviation]]&lt;3,6,
tbl_Data2[[#This Row],[Amount_Deviation]]&lt;6,8,
tbl_Data2[[#This Row],[Amount_Deviation]]&gt;=6,10
)</f>
        <v>6</v>
      </c>
      <c r="O88">
        <f>ROUND(
    (tbl_Data2[[#This Row],[Geo_Score]]*0.2) +
    (tbl_Data2[[#This Row],[Velocity_Score]]*0.25) +
    (tbl_Data2[[#This Row],[Volume_Score]]*0.25) +
    (tbl_Data2[[#This Row],[Deviation_Score]]*0.3),
1
)</f>
        <v>8.1</v>
      </c>
      <c r="P88" t="str" cm="1">
        <f t="array" ref="P88">_xlfn.IFS(
tbl_Data2[[#This Row],[Final_Risk_Score]]&lt;5.5,"Low",
tbl_Data2[[#This Row],[Final_Risk_Score]]&lt;7.5,"Medium",
tbl_Data2[[#This Row],[Final_Risk_Score]]&gt;=7.5,"High"
)</f>
        <v>High</v>
      </c>
      <c r="Q88" t="str" cm="1">
        <f t="array" ref="Q88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89" spans="1:17">
      <c r="A89" t="str">
        <f>tbl_data[[#This Row],[Customer_ID]]</f>
        <v>CUST-088</v>
      </c>
      <c r="B89" t="str">
        <f>tbl_data[[#This Row],[Customer_Type]]</f>
        <v>Business</v>
      </c>
      <c r="C89" t="str">
        <f>tbl_data[[#This Row],[Country]]</f>
        <v>UAE</v>
      </c>
      <c r="D89" t="str">
        <f>tbl_data[[#This Row],[Industry]]</f>
        <v>Trading</v>
      </c>
      <c r="E89">
        <f>tbl_data[[#This Row],[Tx_Count_30D]]</f>
        <v>52</v>
      </c>
      <c r="F89">
        <f>tbl_data[[#This Row],[Total_Amount_30D]]</f>
        <v>46000</v>
      </c>
      <c r="G89">
        <f>tbl_data[[#This Row],[Avg_Tx_Count_6M]]</f>
        <v>27</v>
      </c>
      <c r="H89">
        <f>tbl_data[[#This Row],[Avg_Total_Amount_6M]]</f>
        <v>47181</v>
      </c>
      <c r="I89">
        <f>IFERROR(tbl_Data2[[#This Row],[Tx_Count_30D]]/tbl_Data2[[#This Row],[Avg_Tx_Count_6M]],0)</f>
        <v>1.9259259259259258</v>
      </c>
      <c r="J89">
        <f>IFERROR(tbl_Data2[[#This Row],[Total_Amount_30D]]/tbl_Data2[[#This Row],[Avg_Total_Amount_6M]],0)</f>
        <v>0.97496873741548506</v>
      </c>
      <c r="K89">
        <f>_xlfn.XLOOKUP(tbl_Data2[[#This Row],[Country]], Geo_Map[Country], Geo_Map[Score], 5)</f>
        <v>6</v>
      </c>
      <c r="L89" cm="1">
        <f t="array" ref="L89">_xlfn.IFS(tbl_Data2[[#This Row],[Tx_Count_30D]]&lt;=5,2,tbl_Data2[[#This Row],[Tx_Count_30D]]&lt;=15,5,tbl_Data2[[#This Row],[Tx_Count_30D]]&lt;=30,7,tbl_Data2[[#This Row],[Tx_Count_30D]]&gt;30,9)</f>
        <v>9</v>
      </c>
      <c r="M89" cm="1">
        <f t="array" ref="M89">_xlfn.IFS(
tbl_Data2[[#This Row],[Total_Amount_30D]]&lt;10000,2,
tbl_Data2[[#This Row],[Total_Amount_30D]]&lt;25000,5,
tbl_Data2[[#This Row],[Total_Amount_30D]]&lt;50000,7,
tbl_Data2[[#This Row],[Total_Amount_30D]]&gt;=50000,9
)</f>
        <v>7</v>
      </c>
      <c r="N89" cm="1">
        <f t="array" ref="N89">_xlfn.IFS(
tbl_Data2[[#This Row],[Amount_Deviation]]&lt;1.5,2,
tbl_Data2[[#This Row],[Amount_Deviation]]&lt;3,6,
tbl_Data2[[#This Row],[Amount_Deviation]]&lt;6,8,
tbl_Data2[[#This Row],[Amount_Deviation]]&gt;=6,10
)</f>
        <v>2</v>
      </c>
      <c r="O89">
        <f>ROUND(
    (tbl_Data2[[#This Row],[Geo_Score]]*0.2) +
    (tbl_Data2[[#This Row],[Velocity_Score]]*0.25) +
    (tbl_Data2[[#This Row],[Volume_Score]]*0.25) +
    (tbl_Data2[[#This Row],[Deviation_Score]]*0.3),
1
)</f>
        <v>5.8</v>
      </c>
      <c r="P89" t="str" cm="1">
        <f t="array" ref="P89">_xlfn.IFS(
tbl_Data2[[#This Row],[Final_Risk_Score]]&lt;5.5,"Low",
tbl_Data2[[#This Row],[Final_Risk_Score]]&lt;7.5,"Medium",
tbl_Data2[[#This Row],[Final_Risk_Score]]&gt;=7.5,"High"
)</f>
        <v>Medium</v>
      </c>
      <c r="Q89" t="str" cm="1">
        <f t="array" ref="Q89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90" spans="1:17" hidden="1">
      <c r="A90" t="str">
        <f>tbl_data[[#This Row],[Customer_ID]]</f>
        <v>CUST-089</v>
      </c>
      <c r="B90" t="str">
        <f>tbl_data[[#This Row],[Customer_Type]]</f>
        <v>Business</v>
      </c>
      <c r="C90" t="str">
        <f>tbl_data[[#This Row],[Country]]</f>
        <v>USA</v>
      </c>
      <c r="D90" t="str">
        <f>tbl_data[[#This Row],[Industry]]</f>
        <v>Import/Export</v>
      </c>
      <c r="E90">
        <f>tbl_data[[#This Row],[Tx_Count_30D]]</f>
        <v>27</v>
      </c>
      <c r="F90">
        <f>tbl_data[[#This Row],[Total_Amount_30D]]</f>
        <v>3866</v>
      </c>
      <c r="G90">
        <f>tbl_data[[#This Row],[Avg_Tx_Count_6M]]</f>
        <v>21</v>
      </c>
      <c r="H90">
        <f>tbl_data[[#This Row],[Avg_Total_Amount_6M]]</f>
        <v>78062</v>
      </c>
      <c r="I90">
        <f>IFERROR(tbl_Data2[[#This Row],[Tx_Count_30D]]/tbl_Data2[[#This Row],[Avg_Tx_Count_6M]],0)</f>
        <v>1.2857142857142858</v>
      </c>
      <c r="J90">
        <f>IFERROR(tbl_Data2[[#This Row],[Total_Amount_30D]]/tbl_Data2[[#This Row],[Avg_Total_Amount_6M]],0)</f>
        <v>4.9524736747713356E-2</v>
      </c>
      <c r="K90">
        <f>_xlfn.XLOOKUP(tbl_Data2[[#This Row],[Country]], Geo_Map[Country], Geo_Map[Score], 5)</f>
        <v>1</v>
      </c>
      <c r="L90" cm="1">
        <f t="array" ref="L90">_xlfn.IFS(tbl_Data2[[#This Row],[Tx_Count_30D]]&lt;=5,2,tbl_Data2[[#This Row],[Tx_Count_30D]]&lt;=15,5,tbl_Data2[[#This Row],[Tx_Count_30D]]&lt;=30,7,tbl_Data2[[#This Row],[Tx_Count_30D]]&gt;30,9)</f>
        <v>7</v>
      </c>
      <c r="M90" cm="1">
        <f t="array" ref="M90">_xlfn.IFS(
tbl_Data2[[#This Row],[Total_Amount_30D]]&lt;10000,2,
tbl_Data2[[#This Row],[Total_Amount_30D]]&lt;25000,5,
tbl_Data2[[#This Row],[Total_Amount_30D]]&lt;50000,7,
tbl_Data2[[#This Row],[Total_Amount_30D]]&gt;=50000,9
)</f>
        <v>2</v>
      </c>
      <c r="N90" cm="1">
        <f t="array" ref="N90">_xlfn.IFS(
tbl_Data2[[#This Row],[Amount_Deviation]]&lt;1.5,2,
tbl_Data2[[#This Row],[Amount_Deviation]]&lt;3,6,
tbl_Data2[[#This Row],[Amount_Deviation]]&lt;6,8,
tbl_Data2[[#This Row],[Amount_Deviation]]&gt;=6,10
)</f>
        <v>2</v>
      </c>
      <c r="O90">
        <f>ROUND(
    (tbl_Data2[[#This Row],[Geo_Score]]*0.2) +
    (tbl_Data2[[#This Row],[Velocity_Score]]*0.25) +
    (tbl_Data2[[#This Row],[Volume_Score]]*0.25) +
    (tbl_Data2[[#This Row],[Deviation_Score]]*0.3),
1
)</f>
        <v>3.1</v>
      </c>
      <c r="P90" t="str" cm="1">
        <f t="array" ref="P90">_xlfn.IFS(
tbl_Data2[[#This Row],[Final_Risk_Score]]&lt;5.5,"Low",
tbl_Data2[[#This Row],[Final_Risk_Score]]&lt;7.5,"Medium",
tbl_Data2[[#This Row],[Final_Risk_Score]]&gt;=7.5,"High"
)</f>
        <v>Low</v>
      </c>
      <c r="Q90" t="str" cm="1">
        <f t="array" ref="Q90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91" spans="1:17">
      <c r="A91" t="str">
        <f>tbl_data[[#This Row],[Customer_ID]]</f>
        <v>CUST-090</v>
      </c>
      <c r="B91" t="str">
        <f>tbl_data[[#This Row],[Customer_Type]]</f>
        <v>Business</v>
      </c>
      <c r="C91" t="str">
        <f>tbl_data[[#This Row],[Country]]</f>
        <v>Cyprus</v>
      </c>
      <c r="D91" t="str">
        <f>tbl_data[[#This Row],[Industry]]</f>
        <v>Consulting</v>
      </c>
      <c r="E91">
        <f>tbl_data[[#This Row],[Tx_Count_30D]]</f>
        <v>7</v>
      </c>
      <c r="F91">
        <f>tbl_data[[#This Row],[Total_Amount_30D]]</f>
        <v>19070</v>
      </c>
      <c r="G91">
        <f>tbl_data[[#This Row],[Avg_Tx_Count_6M]]</f>
        <v>4</v>
      </c>
      <c r="H91">
        <f>tbl_data[[#This Row],[Avg_Total_Amount_6M]]</f>
        <v>7307</v>
      </c>
      <c r="I91">
        <f>IFERROR(tbl_Data2[[#This Row],[Tx_Count_30D]]/tbl_Data2[[#This Row],[Avg_Tx_Count_6M]],0)</f>
        <v>1.75</v>
      </c>
      <c r="J91">
        <f>IFERROR(tbl_Data2[[#This Row],[Total_Amount_30D]]/tbl_Data2[[#This Row],[Avg_Total_Amount_6M]],0)</f>
        <v>2.6098261940604899</v>
      </c>
      <c r="K91">
        <f>_xlfn.XLOOKUP(tbl_Data2[[#This Row],[Country]], Geo_Map[Country], Geo_Map[Score], 5)</f>
        <v>7</v>
      </c>
      <c r="L91" cm="1">
        <f t="array" ref="L91">_xlfn.IFS(tbl_Data2[[#This Row],[Tx_Count_30D]]&lt;=5,2,tbl_Data2[[#This Row],[Tx_Count_30D]]&lt;=15,5,tbl_Data2[[#This Row],[Tx_Count_30D]]&lt;=30,7,tbl_Data2[[#This Row],[Tx_Count_30D]]&gt;30,9)</f>
        <v>5</v>
      </c>
      <c r="M91" cm="1">
        <f t="array" ref="M91">_xlfn.IFS(
tbl_Data2[[#This Row],[Total_Amount_30D]]&lt;10000,2,
tbl_Data2[[#This Row],[Total_Amount_30D]]&lt;25000,5,
tbl_Data2[[#This Row],[Total_Amount_30D]]&lt;50000,7,
tbl_Data2[[#This Row],[Total_Amount_30D]]&gt;=50000,9
)</f>
        <v>5</v>
      </c>
      <c r="N91" cm="1">
        <f t="array" ref="N91">_xlfn.IFS(
tbl_Data2[[#This Row],[Amount_Deviation]]&lt;1.5,2,
tbl_Data2[[#This Row],[Amount_Deviation]]&lt;3,6,
tbl_Data2[[#This Row],[Amount_Deviation]]&lt;6,8,
tbl_Data2[[#This Row],[Amount_Deviation]]&gt;=6,10
)</f>
        <v>6</v>
      </c>
      <c r="O91">
        <f>ROUND(
    (tbl_Data2[[#This Row],[Geo_Score]]*0.2) +
    (tbl_Data2[[#This Row],[Velocity_Score]]*0.25) +
    (tbl_Data2[[#This Row],[Volume_Score]]*0.25) +
    (tbl_Data2[[#This Row],[Deviation_Score]]*0.3),
1
)</f>
        <v>5.7</v>
      </c>
      <c r="P91" t="str" cm="1">
        <f t="array" ref="P91">_xlfn.IFS(
tbl_Data2[[#This Row],[Final_Risk_Score]]&lt;5.5,"Low",
tbl_Data2[[#This Row],[Final_Risk_Score]]&lt;7.5,"Medium",
tbl_Data2[[#This Row],[Final_Risk_Score]]&gt;=7.5,"High"
)</f>
        <v>Medium</v>
      </c>
      <c r="Q91" t="str" cm="1">
        <f t="array" ref="Q91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92" spans="1:17" hidden="1">
      <c r="A92" t="str">
        <f>tbl_data[[#This Row],[Customer_ID]]</f>
        <v>CUST-091</v>
      </c>
      <c r="B92" t="str">
        <f>tbl_data[[#This Row],[Customer_Type]]</f>
        <v>Business</v>
      </c>
      <c r="C92" t="str">
        <f>tbl_data[[#This Row],[Country]]</f>
        <v>Hong Kong</v>
      </c>
      <c r="D92" t="str">
        <f>tbl_data[[#This Row],[Industry]]</f>
        <v>Trading</v>
      </c>
      <c r="E92">
        <f>tbl_data[[#This Row],[Tx_Count_30D]]</f>
        <v>38</v>
      </c>
      <c r="F92">
        <f>tbl_data[[#This Row],[Total_Amount_30D]]</f>
        <v>115462</v>
      </c>
      <c r="G92">
        <f>tbl_data[[#This Row],[Avg_Tx_Count_6M]]</f>
        <v>21</v>
      </c>
      <c r="H92">
        <f>tbl_data[[#This Row],[Avg_Total_Amount_6M]]</f>
        <v>45099</v>
      </c>
      <c r="I92">
        <f>IFERROR(tbl_Data2[[#This Row],[Tx_Count_30D]]/tbl_Data2[[#This Row],[Avg_Tx_Count_6M]],0)</f>
        <v>1.8095238095238095</v>
      </c>
      <c r="J92">
        <f>IFERROR(tbl_Data2[[#This Row],[Total_Amount_30D]]/tbl_Data2[[#This Row],[Avg_Total_Amount_6M]],0)</f>
        <v>2.560189804651988</v>
      </c>
      <c r="K92">
        <f>_xlfn.XLOOKUP(tbl_Data2[[#This Row],[Country]], Geo_Map[Country], Geo_Map[Score], 5)</f>
        <v>6</v>
      </c>
      <c r="L92" cm="1">
        <f t="array" ref="L92">_xlfn.IFS(tbl_Data2[[#This Row],[Tx_Count_30D]]&lt;=5,2,tbl_Data2[[#This Row],[Tx_Count_30D]]&lt;=15,5,tbl_Data2[[#This Row],[Tx_Count_30D]]&lt;=30,7,tbl_Data2[[#This Row],[Tx_Count_30D]]&gt;30,9)</f>
        <v>9</v>
      </c>
      <c r="M92" cm="1">
        <f t="array" ref="M92">_xlfn.IFS(
tbl_Data2[[#This Row],[Total_Amount_30D]]&lt;10000,2,
tbl_Data2[[#This Row],[Total_Amount_30D]]&lt;25000,5,
tbl_Data2[[#This Row],[Total_Amount_30D]]&lt;50000,7,
tbl_Data2[[#This Row],[Total_Amount_30D]]&gt;=50000,9
)</f>
        <v>9</v>
      </c>
      <c r="N92" cm="1">
        <f t="array" ref="N92">_xlfn.IFS(
tbl_Data2[[#This Row],[Amount_Deviation]]&lt;1.5,2,
tbl_Data2[[#This Row],[Amount_Deviation]]&lt;3,6,
tbl_Data2[[#This Row],[Amount_Deviation]]&lt;6,8,
tbl_Data2[[#This Row],[Amount_Deviation]]&gt;=6,10
)</f>
        <v>6</v>
      </c>
      <c r="O92">
        <f>ROUND(
    (tbl_Data2[[#This Row],[Geo_Score]]*0.2) +
    (tbl_Data2[[#This Row],[Velocity_Score]]*0.25) +
    (tbl_Data2[[#This Row],[Volume_Score]]*0.25) +
    (tbl_Data2[[#This Row],[Deviation_Score]]*0.3),
1
)</f>
        <v>7.5</v>
      </c>
      <c r="P92" t="str" cm="1">
        <f t="array" ref="P92">_xlfn.IFS(
tbl_Data2[[#This Row],[Final_Risk_Score]]&lt;5.5,"Low",
tbl_Data2[[#This Row],[Final_Risk_Score]]&lt;7.5,"Medium",
tbl_Data2[[#This Row],[Final_Risk_Score]]&gt;=7.5,"High"
)</f>
        <v>High</v>
      </c>
      <c r="Q92" t="str" cm="1">
        <f t="array" ref="Q92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93" spans="1:17" hidden="1">
      <c r="A93" t="str">
        <f>tbl_data[[#This Row],[Customer_ID]]</f>
        <v>CUST-092</v>
      </c>
      <c r="B93" t="str">
        <f>tbl_data[[#This Row],[Customer_Type]]</f>
        <v>Individual</v>
      </c>
      <c r="C93" t="str">
        <f>tbl_data[[#This Row],[Country]]</f>
        <v>UAE</v>
      </c>
      <c r="D93" t="str">
        <f>tbl_data[[#This Row],[Industry]]</f>
        <v>Manufacturing</v>
      </c>
      <c r="E93">
        <f>tbl_data[[#This Row],[Tx_Count_30D]]</f>
        <v>54</v>
      </c>
      <c r="F93">
        <f>tbl_data[[#This Row],[Total_Amount_30D]]</f>
        <v>27306</v>
      </c>
      <c r="G93">
        <f>tbl_data[[#This Row],[Avg_Tx_Count_6M]]</f>
        <v>26</v>
      </c>
      <c r="H93">
        <f>tbl_data[[#This Row],[Avg_Total_Amount_6M]]</f>
        <v>2270</v>
      </c>
      <c r="I93">
        <f>IFERROR(tbl_Data2[[#This Row],[Tx_Count_30D]]/tbl_Data2[[#This Row],[Avg_Tx_Count_6M]],0)</f>
        <v>2.0769230769230771</v>
      </c>
      <c r="J93">
        <f>IFERROR(tbl_Data2[[#This Row],[Total_Amount_30D]]/tbl_Data2[[#This Row],[Avg_Total_Amount_6M]],0)</f>
        <v>12.029074889867841</v>
      </c>
      <c r="K93">
        <f>_xlfn.XLOOKUP(tbl_Data2[[#This Row],[Country]], Geo_Map[Country], Geo_Map[Score], 5)</f>
        <v>6</v>
      </c>
      <c r="L93" cm="1">
        <f t="array" ref="L93">_xlfn.IFS(tbl_Data2[[#This Row],[Tx_Count_30D]]&lt;=5,2,tbl_Data2[[#This Row],[Tx_Count_30D]]&lt;=15,5,tbl_Data2[[#This Row],[Tx_Count_30D]]&lt;=30,7,tbl_Data2[[#This Row],[Tx_Count_30D]]&gt;30,9)</f>
        <v>9</v>
      </c>
      <c r="M93" cm="1">
        <f t="array" ref="M93">_xlfn.IFS(
tbl_Data2[[#This Row],[Total_Amount_30D]]&lt;10000,2,
tbl_Data2[[#This Row],[Total_Amount_30D]]&lt;25000,5,
tbl_Data2[[#This Row],[Total_Amount_30D]]&lt;50000,7,
tbl_Data2[[#This Row],[Total_Amount_30D]]&gt;=50000,9
)</f>
        <v>7</v>
      </c>
      <c r="N93" cm="1">
        <f t="array" ref="N93">_xlfn.IFS(
tbl_Data2[[#This Row],[Amount_Deviation]]&lt;1.5,2,
tbl_Data2[[#This Row],[Amount_Deviation]]&lt;3,6,
tbl_Data2[[#This Row],[Amount_Deviation]]&lt;6,8,
tbl_Data2[[#This Row],[Amount_Deviation]]&gt;=6,10
)</f>
        <v>10</v>
      </c>
      <c r="O93">
        <f>ROUND(
    (tbl_Data2[[#This Row],[Geo_Score]]*0.2) +
    (tbl_Data2[[#This Row],[Velocity_Score]]*0.25) +
    (tbl_Data2[[#This Row],[Volume_Score]]*0.25) +
    (tbl_Data2[[#This Row],[Deviation_Score]]*0.3),
1
)</f>
        <v>8.1999999999999993</v>
      </c>
      <c r="P93" t="str" cm="1">
        <f t="array" ref="P93">_xlfn.IFS(
tbl_Data2[[#This Row],[Final_Risk_Score]]&lt;5.5,"Low",
tbl_Data2[[#This Row],[Final_Risk_Score]]&lt;7.5,"Medium",
tbl_Data2[[#This Row],[Final_Risk_Score]]&gt;=7.5,"High"
)</f>
        <v>High</v>
      </c>
      <c r="Q93" t="str" cm="1">
        <f t="array" ref="Q93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94" spans="1:17">
      <c r="A94" t="str">
        <f>tbl_data[[#This Row],[Customer_ID]]</f>
        <v>CUST-093</v>
      </c>
      <c r="B94" t="str">
        <f>tbl_data[[#This Row],[Customer_Type]]</f>
        <v>Business</v>
      </c>
      <c r="C94" t="str">
        <f>tbl_data[[#This Row],[Country]]</f>
        <v>Hong Kong</v>
      </c>
      <c r="D94" t="str">
        <f>tbl_data[[#This Row],[Industry]]</f>
        <v>IT Services</v>
      </c>
      <c r="E94">
        <f>tbl_data[[#This Row],[Tx_Count_30D]]</f>
        <v>50</v>
      </c>
      <c r="F94">
        <f>tbl_data[[#This Row],[Total_Amount_30D]]</f>
        <v>41795</v>
      </c>
      <c r="G94">
        <f>tbl_data[[#This Row],[Avg_Tx_Count_6M]]</f>
        <v>18</v>
      </c>
      <c r="H94">
        <f>tbl_data[[#This Row],[Avg_Total_Amount_6M]]</f>
        <v>52003</v>
      </c>
      <c r="I94">
        <f>IFERROR(tbl_Data2[[#This Row],[Tx_Count_30D]]/tbl_Data2[[#This Row],[Avg_Tx_Count_6M]],0)</f>
        <v>2.7777777777777777</v>
      </c>
      <c r="J94">
        <f>IFERROR(tbl_Data2[[#This Row],[Total_Amount_30D]]/tbl_Data2[[#This Row],[Avg_Total_Amount_6M]],0)</f>
        <v>0.80370363248274135</v>
      </c>
      <c r="K94">
        <f>_xlfn.XLOOKUP(tbl_Data2[[#This Row],[Country]], Geo_Map[Country], Geo_Map[Score], 5)</f>
        <v>6</v>
      </c>
      <c r="L94" cm="1">
        <f t="array" ref="L94">_xlfn.IFS(tbl_Data2[[#This Row],[Tx_Count_30D]]&lt;=5,2,tbl_Data2[[#This Row],[Tx_Count_30D]]&lt;=15,5,tbl_Data2[[#This Row],[Tx_Count_30D]]&lt;=30,7,tbl_Data2[[#This Row],[Tx_Count_30D]]&gt;30,9)</f>
        <v>9</v>
      </c>
      <c r="M94" cm="1">
        <f t="array" ref="M94">_xlfn.IFS(
tbl_Data2[[#This Row],[Total_Amount_30D]]&lt;10000,2,
tbl_Data2[[#This Row],[Total_Amount_30D]]&lt;25000,5,
tbl_Data2[[#This Row],[Total_Amount_30D]]&lt;50000,7,
tbl_Data2[[#This Row],[Total_Amount_30D]]&gt;=50000,9
)</f>
        <v>7</v>
      </c>
      <c r="N94" cm="1">
        <f t="array" ref="N94">_xlfn.IFS(
tbl_Data2[[#This Row],[Amount_Deviation]]&lt;1.5,2,
tbl_Data2[[#This Row],[Amount_Deviation]]&lt;3,6,
tbl_Data2[[#This Row],[Amount_Deviation]]&lt;6,8,
tbl_Data2[[#This Row],[Amount_Deviation]]&gt;=6,10
)</f>
        <v>2</v>
      </c>
      <c r="O94">
        <f>ROUND(
    (tbl_Data2[[#This Row],[Geo_Score]]*0.2) +
    (tbl_Data2[[#This Row],[Velocity_Score]]*0.25) +
    (tbl_Data2[[#This Row],[Volume_Score]]*0.25) +
    (tbl_Data2[[#This Row],[Deviation_Score]]*0.3),
1
)</f>
        <v>5.8</v>
      </c>
      <c r="P94" t="str" cm="1">
        <f t="array" ref="P94">_xlfn.IFS(
tbl_Data2[[#This Row],[Final_Risk_Score]]&lt;5.5,"Low",
tbl_Data2[[#This Row],[Final_Risk_Score]]&lt;7.5,"Medium",
tbl_Data2[[#This Row],[Final_Risk_Score]]&gt;=7.5,"High"
)</f>
        <v>Medium</v>
      </c>
      <c r="Q94" t="str" cm="1">
        <f t="array" ref="Q94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95" spans="1:17">
      <c r="A95" t="str">
        <f>tbl_data[[#This Row],[Customer_ID]]</f>
        <v>CUST-094</v>
      </c>
      <c r="B95" t="str">
        <f>tbl_data[[#This Row],[Customer_Type]]</f>
        <v>Business</v>
      </c>
      <c r="C95" t="str">
        <f>tbl_data[[#This Row],[Country]]</f>
        <v>Cyprus</v>
      </c>
      <c r="D95" t="str">
        <f>tbl_data[[#This Row],[Industry]]</f>
        <v>Logistics</v>
      </c>
      <c r="E95">
        <f>tbl_data[[#This Row],[Tx_Count_30D]]</f>
        <v>15</v>
      </c>
      <c r="F95">
        <f>tbl_data[[#This Row],[Total_Amount_30D]]</f>
        <v>43086</v>
      </c>
      <c r="G95">
        <f>tbl_data[[#This Row],[Avg_Tx_Count_6M]]</f>
        <v>5</v>
      </c>
      <c r="H95">
        <f>tbl_data[[#This Row],[Avg_Total_Amount_6M]]</f>
        <v>19827</v>
      </c>
      <c r="I95">
        <f>IFERROR(tbl_Data2[[#This Row],[Tx_Count_30D]]/tbl_Data2[[#This Row],[Avg_Tx_Count_6M]],0)</f>
        <v>3</v>
      </c>
      <c r="J95">
        <f>IFERROR(tbl_Data2[[#This Row],[Total_Amount_30D]]/tbl_Data2[[#This Row],[Avg_Total_Amount_6M]],0)</f>
        <v>2.1730972915720987</v>
      </c>
      <c r="K95">
        <f>_xlfn.XLOOKUP(tbl_Data2[[#This Row],[Country]], Geo_Map[Country], Geo_Map[Score], 5)</f>
        <v>7</v>
      </c>
      <c r="L95" cm="1">
        <f t="array" ref="L95">_xlfn.IFS(tbl_Data2[[#This Row],[Tx_Count_30D]]&lt;=5,2,tbl_Data2[[#This Row],[Tx_Count_30D]]&lt;=15,5,tbl_Data2[[#This Row],[Tx_Count_30D]]&lt;=30,7,tbl_Data2[[#This Row],[Tx_Count_30D]]&gt;30,9)</f>
        <v>5</v>
      </c>
      <c r="M95" cm="1">
        <f t="array" ref="M95">_xlfn.IFS(
tbl_Data2[[#This Row],[Total_Amount_30D]]&lt;10000,2,
tbl_Data2[[#This Row],[Total_Amount_30D]]&lt;25000,5,
tbl_Data2[[#This Row],[Total_Amount_30D]]&lt;50000,7,
tbl_Data2[[#This Row],[Total_Amount_30D]]&gt;=50000,9
)</f>
        <v>7</v>
      </c>
      <c r="N95" cm="1">
        <f t="array" ref="N95">_xlfn.IFS(
tbl_Data2[[#This Row],[Amount_Deviation]]&lt;1.5,2,
tbl_Data2[[#This Row],[Amount_Deviation]]&lt;3,6,
tbl_Data2[[#This Row],[Amount_Deviation]]&lt;6,8,
tbl_Data2[[#This Row],[Amount_Deviation]]&gt;=6,10
)</f>
        <v>6</v>
      </c>
      <c r="O95">
        <f>ROUND(
    (tbl_Data2[[#This Row],[Geo_Score]]*0.2) +
    (tbl_Data2[[#This Row],[Velocity_Score]]*0.25) +
    (tbl_Data2[[#This Row],[Volume_Score]]*0.25) +
    (tbl_Data2[[#This Row],[Deviation_Score]]*0.3),
1
)</f>
        <v>6.2</v>
      </c>
      <c r="P95" t="str" cm="1">
        <f t="array" ref="P95">_xlfn.IFS(
tbl_Data2[[#This Row],[Final_Risk_Score]]&lt;5.5,"Low",
tbl_Data2[[#This Row],[Final_Risk_Score]]&lt;7.5,"Medium",
tbl_Data2[[#This Row],[Final_Risk_Score]]&gt;=7.5,"High"
)</f>
        <v>Medium</v>
      </c>
      <c r="Q95" t="str" cm="1">
        <f t="array" ref="Q95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96" spans="1:17">
      <c r="A96" t="str">
        <f>tbl_data[[#This Row],[Customer_ID]]</f>
        <v>CUST-095</v>
      </c>
      <c r="B96" t="str">
        <f>tbl_data[[#This Row],[Customer_Type]]</f>
        <v>Business</v>
      </c>
      <c r="C96" t="str">
        <f>tbl_data[[#This Row],[Country]]</f>
        <v>Seychelles</v>
      </c>
      <c r="D96" t="str">
        <f>tbl_data[[#This Row],[Industry]]</f>
        <v>Manufacturing</v>
      </c>
      <c r="E96">
        <f>tbl_data[[#This Row],[Tx_Count_30D]]</f>
        <v>6</v>
      </c>
      <c r="F96">
        <f>tbl_data[[#This Row],[Total_Amount_30D]]</f>
        <v>82856</v>
      </c>
      <c r="G96">
        <f>tbl_data[[#This Row],[Avg_Tx_Count_6M]]</f>
        <v>27</v>
      </c>
      <c r="H96">
        <f>tbl_data[[#This Row],[Avg_Total_Amount_6M]]</f>
        <v>74170</v>
      </c>
      <c r="I96">
        <f>IFERROR(tbl_Data2[[#This Row],[Tx_Count_30D]]/tbl_Data2[[#This Row],[Avg_Tx_Count_6M]],0)</f>
        <v>0.22222222222222221</v>
      </c>
      <c r="J96">
        <f>IFERROR(tbl_Data2[[#This Row],[Total_Amount_30D]]/tbl_Data2[[#This Row],[Avg_Total_Amount_6M]],0)</f>
        <v>1.1171093434002966</v>
      </c>
      <c r="K96">
        <f>_xlfn.XLOOKUP(tbl_Data2[[#This Row],[Country]], Geo_Map[Country], Geo_Map[Score], 5)</f>
        <v>9</v>
      </c>
      <c r="L96" cm="1">
        <f t="array" ref="L96">_xlfn.IFS(tbl_Data2[[#This Row],[Tx_Count_30D]]&lt;=5,2,tbl_Data2[[#This Row],[Tx_Count_30D]]&lt;=15,5,tbl_Data2[[#This Row],[Tx_Count_30D]]&lt;=30,7,tbl_Data2[[#This Row],[Tx_Count_30D]]&gt;30,9)</f>
        <v>5</v>
      </c>
      <c r="M96" cm="1">
        <f t="array" ref="M96">_xlfn.IFS(
tbl_Data2[[#This Row],[Total_Amount_30D]]&lt;10000,2,
tbl_Data2[[#This Row],[Total_Amount_30D]]&lt;25000,5,
tbl_Data2[[#This Row],[Total_Amount_30D]]&lt;50000,7,
tbl_Data2[[#This Row],[Total_Amount_30D]]&gt;=50000,9
)</f>
        <v>9</v>
      </c>
      <c r="N96" cm="1">
        <f t="array" ref="N96">_xlfn.IFS(
tbl_Data2[[#This Row],[Amount_Deviation]]&lt;1.5,2,
tbl_Data2[[#This Row],[Amount_Deviation]]&lt;3,6,
tbl_Data2[[#This Row],[Amount_Deviation]]&lt;6,8,
tbl_Data2[[#This Row],[Amount_Deviation]]&gt;=6,10
)</f>
        <v>2</v>
      </c>
      <c r="O96">
        <f>ROUND(
    (tbl_Data2[[#This Row],[Geo_Score]]*0.2) +
    (tbl_Data2[[#This Row],[Velocity_Score]]*0.25) +
    (tbl_Data2[[#This Row],[Volume_Score]]*0.25) +
    (tbl_Data2[[#This Row],[Deviation_Score]]*0.3),
1
)</f>
        <v>5.9</v>
      </c>
      <c r="P96" t="str" cm="1">
        <f t="array" ref="P96">_xlfn.IFS(
tbl_Data2[[#This Row],[Final_Risk_Score]]&lt;5.5,"Low",
tbl_Data2[[#This Row],[Final_Risk_Score]]&lt;7.5,"Medium",
tbl_Data2[[#This Row],[Final_Risk_Score]]&gt;=7.5,"High"
)</f>
        <v>Medium</v>
      </c>
      <c r="Q96" t="str" cm="1">
        <f t="array" ref="Q96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97" spans="1:17">
      <c r="A97" t="str">
        <f>tbl_data[[#This Row],[Customer_ID]]</f>
        <v>CUST-096</v>
      </c>
      <c r="B97" t="str">
        <f>tbl_data[[#This Row],[Customer_Type]]</f>
        <v>Business</v>
      </c>
      <c r="C97" t="str">
        <f>tbl_data[[#This Row],[Country]]</f>
        <v>UAE</v>
      </c>
      <c r="D97" t="str">
        <f>tbl_data[[#This Row],[Industry]]</f>
        <v>IT Services</v>
      </c>
      <c r="E97">
        <f>tbl_data[[#This Row],[Tx_Count_30D]]</f>
        <v>25</v>
      </c>
      <c r="F97">
        <f>tbl_data[[#This Row],[Total_Amount_30D]]</f>
        <v>57542</v>
      </c>
      <c r="G97">
        <f>tbl_data[[#This Row],[Avg_Tx_Count_6M]]</f>
        <v>5</v>
      </c>
      <c r="H97">
        <f>tbl_data[[#This Row],[Avg_Total_Amount_6M]]</f>
        <v>31518</v>
      </c>
      <c r="I97">
        <f>IFERROR(tbl_Data2[[#This Row],[Tx_Count_30D]]/tbl_Data2[[#This Row],[Avg_Tx_Count_6M]],0)</f>
        <v>5</v>
      </c>
      <c r="J97">
        <f>IFERROR(tbl_Data2[[#This Row],[Total_Amount_30D]]/tbl_Data2[[#This Row],[Avg_Total_Amount_6M]],0)</f>
        <v>1.8256869090678343</v>
      </c>
      <c r="K97">
        <f>_xlfn.XLOOKUP(tbl_Data2[[#This Row],[Country]], Geo_Map[Country], Geo_Map[Score], 5)</f>
        <v>6</v>
      </c>
      <c r="L97" cm="1">
        <f t="array" ref="L97">_xlfn.IFS(tbl_Data2[[#This Row],[Tx_Count_30D]]&lt;=5,2,tbl_Data2[[#This Row],[Tx_Count_30D]]&lt;=15,5,tbl_Data2[[#This Row],[Tx_Count_30D]]&lt;=30,7,tbl_Data2[[#This Row],[Tx_Count_30D]]&gt;30,9)</f>
        <v>7</v>
      </c>
      <c r="M97" cm="1">
        <f t="array" ref="M97">_xlfn.IFS(
tbl_Data2[[#This Row],[Total_Amount_30D]]&lt;10000,2,
tbl_Data2[[#This Row],[Total_Amount_30D]]&lt;25000,5,
tbl_Data2[[#This Row],[Total_Amount_30D]]&lt;50000,7,
tbl_Data2[[#This Row],[Total_Amount_30D]]&gt;=50000,9
)</f>
        <v>9</v>
      </c>
      <c r="N97" cm="1">
        <f t="array" ref="N97">_xlfn.IFS(
tbl_Data2[[#This Row],[Amount_Deviation]]&lt;1.5,2,
tbl_Data2[[#This Row],[Amount_Deviation]]&lt;3,6,
tbl_Data2[[#This Row],[Amount_Deviation]]&lt;6,8,
tbl_Data2[[#This Row],[Amount_Deviation]]&gt;=6,10
)</f>
        <v>6</v>
      </c>
      <c r="O97">
        <f>ROUND(
    (tbl_Data2[[#This Row],[Geo_Score]]*0.2) +
    (tbl_Data2[[#This Row],[Velocity_Score]]*0.25) +
    (tbl_Data2[[#This Row],[Volume_Score]]*0.25) +
    (tbl_Data2[[#This Row],[Deviation_Score]]*0.3),
1
)</f>
        <v>7</v>
      </c>
      <c r="P97" t="str" cm="1">
        <f t="array" ref="P97">_xlfn.IFS(
tbl_Data2[[#This Row],[Final_Risk_Score]]&lt;5.5,"Low",
tbl_Data2[[#This Row],[Final_Risk_Score]]&lt;7.5,"Medium",
tbl_Data2[[#This Row],[Final_Risk_Score]]&gt;=7.5,"High"
)</f>
        <v>Medium</v>
      </c>
      <c r="Q97" t="str" cm="1">
        <f t="array" ref="Q97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98" spans="1:17">
      <c r="A98" t="str">
        <f>tbl_data[[#This Row],[Customer_ID]]</f>
        <v>CUST-097</v>
      </c>
      <c r="B98" t="str">
        <f>tbl_data[[#This Row],[Customer_Type]]</f>
        <v>Business</v>
      </c>
      <c r="C98" t="str">
        <f>tbl_data[[#This Row],[Country]]</f>
        <v>Hong Kong</v>
      </c>
      <c r="D98" t="str">
        <f>tbl_data[[#This Row],[Industry]]</f>
        <v>Logistics</v>
      </c>
      <c r="E98">
        <f>tbl_data[[#This Row],[Tx_Count_30D]]</f>
        <v>33</v>
      </c>
      <c r="F98">
        <f>tbl_data[[#This Row],[Total_Amount_30D]]</f>
        <v>18861</v>
      </c>
      <c r="G98">
        <f>tbl_data[[#This Row],[Avg_Tx_Count_6M]]</f>
        <v>14</v>
      </c>
      <c r="H98">
        <f>tbl_data[[#This Row],[Avg_Total_Amount_6M]]</f>
        <v>5025</v>
      </c>
      <c r="I98">
        <f>IFERROR(tbl_Data2[[#This Row],[Tx_Count_30D]]/tbl_Data2[[#This Row],[Avg_Tx_Count_6M]],0)</f>
        <v>2.3571428571428572</v>
      </c>
      <c r="J98">
        <f>IFERROR(tbl_Data2[[#This Row],[Total_Amount_30D]]/tbl_Data2[[#This Row],[Avg_Total_Amount_6M]],0)</f>
        <v>3.7534328358208957</v>
      </c>
      <c r="K98">
        <f>_xlfn.XLOOKUP(tbl_Data2[[#This Row],[Country]], Geo_Map[Country], Geo_Map[Score], 5)</f>
        <v>6</v>
      </c>
      <c r="L98" cm="1">
        <f t="array" ref="L98">_xlfn.IFS(tbl_Data2[[#This Row],[Tx_Count_30D]]&lt;=5,2,tbl_Data2[[#This Row],[Tx_Count_30D]]&lt;=15,5,tbl_Data2[[#This Row],[Tx_Count_30D]]&lt;=30,7,tbl_Data2[[#This Row],[Tx_Count_30D]]&gt;30,9)</f>
        <v>9</v>
      </c>
      <c r="M98" cm="1">
        <f t="array" ref="M98">_xlfn.IFS(
tbl_Data2[[#This Row],[Total_Amount_30D]]&lt;10000,2,
tbl_Data2[[#This Row],[Total_Amount_30D]]&lt;25000,5,
tbl_Data2[[#This Row],[Total_Amount_30D]]&lt;50000,7,
tbl_Data2[[#This Row],[Total_Amount_30D]]&gt;=50000,9
)</f>
        <v>5</v>
      </c>
      <c r="N98" cm="1">
        <f t="array" ref="N98">_xlfn.IFS(
tbl_Data2[[#This Row],[Amount_Deviation]]&lt;1.5,2,
tbl_Data2[[#This Row],[Amount_Deviation]]&lt;3,6,
tbl_Data2[[#This Row],[Amount_Deviation]]&lt;6,8,
tbl_Data2[[#This Row],[Amount_Deviation]]&gt;=6,10
)</f>
        <v>8</v>
      </c>
      <c r="O98">
        <f>ROUND(
    (tbl_Data2[[#This Row],[Geo_Score]]*0.2) +
    (tbl_Data2[[#This Row],[Velocity_Score]]*0.25) +
    (tbl_Data2[[#This Row],[Volume_Score]]*0.25) +
    (tbl_Data2[[#This Row],[Deviation_Score]]*0.3),
1
)</f>
        <v>7.1</v>
      </c>
      <c r="P98" t="str" cm="1">
        <f t="array" ref="P98">_xlfn.IFS(
tbl_Data2[[#This Row],[Final_Risk_Score]]&lt;5.5,"Low",
tbl_Data2[[#This Row],[Final_Risk_Score]]&lt;7.5,"Medium",
tbl_Data2[[#This Row],[Final_Risk_Score]]&gt;=7.5,"High"
)</f>
        <v>Medium</v>
      </c>
      <c r="Q98" t="str" cm="1">
        <f t="array" ref="Q98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99" spans="1:17" hidden="1">
      <c r="A99" t="str">
        <f>tbl_data[[#This Row],[Customer_ID]]</f>
        <v>CUST-098</v>
      </c>
      <c r="B99" t="str">
        <f>tbl_data[[#This Row],[Customer_Type]]</f>
        <v>Individual</v>
      </c>
      <c r="C99" t="str">
        <f>tbl_data[[#This Row],[Country]]</f>
        <v>USA</v>
      </c>
      <c r="D99" t="str">
        <f>tbl_data[[#This Row],[Industry]]</f>
        <v>IT Services</v>
      </c>
      <c r="E99">
        <f>tbl_data[[#This Row],[Tx_Count_30D]]</f>
        <v>48</v>
      </c>
      <c r="F99">
        <f>tbl_data[[#This Row],[Total_Amount_30D]]</f>
        <v>15641</v>
      </c>
      <c r="G99">
        <f>tbl_data[[#This Row],[Avg_Tx_Count_6M]]</f>
        <v>7</v>
      </c>
      <c r="H99">
        <f>tbl_data[[#This Row],[Avg_Total_Amount_6M]]</f>
        <v>62025</v>
      </c>
      <c r="I99">
        <f>IFERROR(tbl_Data2[[#This Row],[Tx_Count_30D]]/tbl_Data2[[#This Row],[Avg_Tx_Count_6M]],0)</f>
        <v>6.8571428571428568</v>
      </c>
      <c r="J99">
        <f>IFERROR(tbl_Data2[[#This Row],[Total_Amount_30D]]/tbl_Data2[[#This Row],[Avg_Total_Amount_6M]],0)</f>
        <v>0.25217251108424021</v>
      </c>
      <c r="K99">
        <f>_xlfn.XLOOKUP(tbl_Data2[[#This Row],[Country]], Geo_Map[Country], Geo_Map[Score], 5)</f>
        <v>1</v>
      </c>
      <c r="L99" cm="1">
        <f t="array" ref="L99">_xlfn.IFS(tbl_Data2[[#This Row],[Tx_Count_30D]]&lt;=5,2,tbl_Data2[[#This Row],[Tx_Count_30D]]&lt;=15,5,tbl_Data2[[#This Row],[Tx_Count_30D]]&lt;=30,7,tbl_Data2[[#This Row],[Tx_Count_30D]]&gt;30,9)</f>
        <v>9</v>
      </c>
      <c r="M99" cm="1">
        <f t="array" ref="M99">_xlfn.IFS(
tbl_Data2[[#This Row],[Total_Amount_30D]]&lt;10000,2,
tbl_Data2[[#This Row],[Total_Amount_30D]]&lt;25000,5,
tbl_Data2[[#This Row],[Total_Amount_30D]]&lt;50000,7,
tbl_Data2[[#This Row],[Total_Amount_30D]]&gt;=50000,9
)</f>
        <v>5</v>
      </c>
      <c r="N99" cm="1">
        <f t="array" ref="N99">_xlfn.IFS(
tbl_Data2[[#This Row],[Amount_Deviation]]&lt;1.5,2,
tbl_Data2[[#This Row],[Amount_Deviation]]&lt;3,6,
tbl_Data2[[#This Row],[Amount_Deviation]]&lt;6,8,
tbl_Data2[[#This Row],[Amount_Deviation]]&gt;=6,10
)</f>
        <v>2</v>
      </c>
      <c r="O99">
        <f>ROUND(
    (tbl_Data2[[#This Row],[Geo_Score]]*0.2) +
    (tbl_Data2[[#This Row],[Velocity_Score]]*0.25) +
    (tbl_Data2[[#This Row],[Volume_Score]]*0.25) +
    (tbl_Data2[[#This Row],[Deviation_Score]]*0.3),
1
)</f>
        <v>4.3</v>
      </c>
      <c r="P99" t="str" cm="1">
        <f t="array" ref="P99">_xlfn.IFS(
tbl_Data2[[#This Row],[Final_Risk_Score]]&lt;5.5,"Low",
tbl_Data2[[#This Row],[Final_Risk_Score]]&lt;7.5,"Medium",
tbl_Data2[[#This Row],[Final_Risk_Score]]&gt;=7.5,"High"
)</f>
        <v>Low</v>
      </c>
      <c r="Q99" t="str" cm="1">
        <f t="array" ref="Q99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100" spans="1:17">
      <c r="A100" t="str">
        <f>tbl_data[[#This Row],[Customer_ID]]</f>
        <v>CUST-099</v>
      </c>
      <c r="B100" t="str">
        <f>tbl_data[[#This Row],[Customer_Type]]</f>
        <v>Business</v>
      </c>
      <c r="C100" t="str">
        <f>tbl_data[[#This Row],[Country]]</f>
        <v>Hong Kong</v>
      </c>
      <c r="D100" t="str">
        <f>tbl_data[[#This Row],[Industry]]</f>
        <v>Manufacturing</v>
      </c>
      <c r="E100">
        <f>tbl_data[[#This Row],[Tx_Count_30D]]</f>
        <v>29</v>
      </c>
      <c r="F100">
        <f>tbl_data[[#This Row],[Total_Amount_30D]]</f>
        <v>55065</v>
      </c>
      <c r="G100">
        <f>tbl_data[[#This Row],[Avg_Tx_Count_6M]]</f>
        <v>21</v>
      </c>
      <c r="H100">
        <f>tbl_data[[#This Row],[Avg_Total_Amount_6M]]</f>
        <v>34763</v>
      </c>
      <c r="I100">
        <f>IFERROR(tbl_Data2[[#This Row],[Tx_Count_30D]]/tbl_Data2[[#This Row],[Avg_Tx_Count_6M]],0)</f>
        <v>1.3809523809523809</v>
      </c>
      <c r="J100">
        <f>IFERROR(tbl_Data2[[#This Row],[Total_Amount_30D]]/tbl_Data2[[#This Row],[Avg_Total_Amount_6M]],0)</f>
        <v>1.5840117366165176</v>
      </c>
      <c r="K100">
        <f>_xlfn.XLOOKUP(tbl_Data2[[#This Row],[Country]], Geo_Map[Country], Geo_Map[Score], 5)</f>
        <v>6</v>
      </c>
      <c r="L100" cm="1">
        <f t="array" ref="L100">_xlfn.IFS(tbl_Data2[[#This Row],[Tx_Count_30D]]&lt;=5,2,tbl_Data2[[#This Row],[Tx_Count_30D]]&lt;=15,5,tbl_Data2[[#This Row],[Tx_Count_30D]]&lt;=30,7,tbl_Data2[[#This Row],[Tx_Count_30D]]&gt;30,9)</f>
        <v>7</v>
      </c>
      <c r="M100" cm="1">
        <f t="array" ref="M100">_xlfn.IFS(
tbl_Data2[[#This Row],[Total_Amount_30D]]&lt;10000,2,
tbl_Data2[[#This Row],[Total_Amount_30D]]&lt;25000,5,
tbl_Data2[[#This Row],[Total_Amount_30D]]&lt;50000,7,
tbl_Data2[[#This Row],[Total_Amount_30D]]&gt;=50000,9
)</f>
        <v>9</v>
      </c>
      <c r="N100" cm="1">
        <f t="array" ref="N100">_xlfn.IFS(
tbl_Data2[[#This Row],[Amount_Deviation]]&lt;1.5,2,
tbl_Data2[[#This Row],[Amount_Deviation]]&lt;3,6,
tbl_Data2[[#This Row],[Amount_Deviation]]&lt;6,8,
tbl_Data2[[#This Row],[Amount_Deviation]]&gt;=6,10
)</f>
        <v>6</v>
      </c>
      <c r="O100">
        <f>ROUND(
    (tbl_Data2[[#This Row],[Geo_Score]]*0.2) +
    (tbl_Data2[[#This Row],[Velocity_Score]]*0.25) +
    (tbl_Data2[[#This Row],[Volume_Score]]*0.25) +
    (tbl_Data2[[#This Row],[Deviation_Score]]*0.3),
1
)</f>
        <v>7</v>
      </c>
      <c r="P100" t="str" cm="1">
        <f t="array" ref="P100">_xlfn.IFS(
tbl_Data2[[#This Row],[Final_Risk_Score]]&lt;5.5,"Low",
tbl_Data2[[#This Row],[Final_Risk_Score]]&lt;7.5,"Medium",
tbl_Data2[[#This Row],[Final_Risk_Score]]&gt;=7.5,"High"
)</f>
        <v>Medium</v>
      </c>
      <c r="Q100" t="str" cm="1">
        <f t="array" ref="Q100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01" spans="1:17">
      <c r="A101" t="str">
        <f>tbl_data[[#This Row],[Customer_ID]]</f>
        <v>CUST-100</v>
      </c>
      <c r="B101" t="str">
        <f>tbl_data[[#This Row],[Customer_Type]]</f>
        <v>Individual</v>
      </c>
      <c r="C101" t="str">
        <f>tbl_data[[#This Row],[Country]]</f>
        <v>Cyprus</v>
      </c>
      <c r="D101" t="str">
        <f>tbl_data[[#This Row],[Industry]]</f>
        <v>Manufacturing</v>
      </c>
      <c r="E101">
        <f>tbl_data[[#This Row],[Tx_Count_30D]]</f>
        <v>18</v>
      </c>
      <c r="F101">
        <f>tbl_data[[#This Row],[Total_Amount_30D]]</f>
        <v>42345</v>
      </c>
      <c r="G101">
        <f>tbl_data[[#This Row],[Avg_Tx_Count_6M]]</f>
        <v>17</v>
      </c>
      <c r="H101">
        <f>tbl_data[[#This Row],[Avg_Total_Amount_6M]]</f>
        <v>77597</v>
      </c>
      <c r="I101">
        <f>IFERROR(tbl_Data2[[#This Row],[Tx_Count_30D]]/tbl_Data2[[#This Row],[Avg_Tx_Count_6M]],0)</f>
        <v>1.0588235294117647</v>
      </c>
      <c r="J101">
        <f>IFERROR(tbl_Data2[[#This Row],[Total_Amount_30D]]/tbl_Data2[[#This Row],[Avg_Total_Amount_6M]],0)</f>
        <v>0.54570408649818936</v>
      </c>
      <c r="K101">
        <f>_xlfn.XLOOKUP(tbl_Data2[[#This Row],[Country]], Geo_Map[Country], Geo_Map[Score], 5)</f>
        <v>7</v>
      </c>
      <c r="L101" cm="1">
        <f t="array" ref="L101">_xlfn.IFS(tbl_Data2[[#This Row],[Tx_Count_30D]]&lt;=5,2,tbl_Data2[[#This Row],[Tx_Count_30D]]&lt;=15,5,tbl_Data2[[#This Row],[Tx_Count_30D]]&lt;=30,7,tbl_Data2[[#This Row],[Tx_Count_30D]]&gt;30,9)</f>
        <v>7</v>
      </c>
      <c r="M101" cm="1">
        <f t="array" ref="M101">_xlfn.IFS(
tbl_Data2[[#This Row],[Total_Amount_30D]]&lt;10000,2,
tbl_Data2[[#This Row],[Total_Amount_30D]]&lt;25000,5,
tbl_Data2[[#This Row],[Total_Amount_30D]]&lt;50000,7,
tbl_Data2[[#This Row],[Total_Amount_30D]]&gt;=50000,9
)</f>
        <v>7</v>
      </c>
      <c r="N101" cm="1">
        <f t="array" ref="N101">_xlfn.IFS(
tbl_Data2[[#This Row],[Amount_Deviation]]&lt;1.5,2,
tbl_Data2[[#This Row],[Amount_Deviation]]&lt;3,6,
tbl_Data2[[#This Row],[Amount_Deviation]]&lt;6,8,
tbl_Data2[[#This Row],[Amount_Deviation]]&gt;=6,10
)</f>
        <v>2</v>
      </c>
      <c r="O101">
        <f>ROUND(
    (tbl_Data2[[#This Row],[Geo_Score]]*0.2) +
    (tbl_Data2[[#This Row],[Velocity_Score]]*0.25) +
    (tbl_Data2[[#This Row],[Volume_Score]]*0.25) +
    (tbl_Data2[[#This Row],[Deviation_Score]]*0.3),
1
)</f>
        <v>5.5</v>
      </c>
      <c r="P101" t="str" cm="1">
        <f t="array" ref="P101">_xlfn.IFS(
tbl_Data2[[#This Row],[Final_Risk_Score]]&lt;5.5,"Low",
tbl_Data2[[#This Row],[Final_Risk_Score]]&lt;7.5,"Medium",
tbl_Data2[[#This Row],[Final_Risk_Score]]&gt;=7.5,"High"
)</f>
        <v>Medium</v>
      </c>
      <c r="Q101" t="str" cm="1">
        <f t="array" ref="Q101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02" spans="1:17" hidden="1">
      <c r="A102" t="str">
        <f>tbl_data[[#This Row],[Customer_ID]]</f>
        <v>CUST-101</v>
      </c>
      <c r="B102" t="str">
        <f>tbl_data[[#This Row],[Customer_Type]]</f>
        <v>Business</v>
      </c>
      <c r="C102" t="str">
        <f>tbl_data[[#This Row],[Country]]</f>
        <v>Seychelles</v>
      </c>
      <c r="D102" t="str">
        <f>tbl_data[[#This Row],[Industry]]</f>
        <v>Manufacturing</v>
      </c>
      <c r="E102">
        <f>tbl_data[[#This Row],[Tx_Count_30D]]</f>
        <v>42</v>
      </c>
      <c r="F102">
        <f>tbl_data[[#This Row],[Total_Amount_30D]]</f>
        <v>88488</v>
      </c>
      <c r="G102">
        <f>tbl_data[[#This Row],[Avg_Tx_Count_6M]]</f>
        <v>9</v>
      </c>
      <c r="H102">
        <f>tbl_data[[#This Row],[Avg_Total_Amount_6M]]</f>
        <v>13261</v>
      </c>
      <c r="I102">
        <f>IFERROR(tbl_Data2[[#This Row],[Tx_Count_30D]]/tbl_Data2[[#This Row],[Avg_Tx_Count_6M]],0)</f>
        <v>4.666666666666667</v>
      </c>
      <c r="J102">
        <f>IFERROR(tbl_Data2[[#This Row],[Total_Amount_30D]]/tbl_Data2[[#This Row],[Avg_Total_Amount_6M]],0)</f>
        <v>6.6727999396727249</v>
      </c>
      <c r="K102">
        <f>_xlfn.XLOOKUP(tbl_Data2[[#This Row],[Country]], Geo_Map[Country], Geo_Map[Score], 5)</f>
        <v>9</v>
      </c>
      <c r="L102" cm="1">
        <f t="array" ref="L102">_xlfn.IFS(tbl_Data2[[#This Row],[Tx_Count_30D]]&lt;=5,2,tbl_Data2[[#This Row],[Tx_Count_30D]]&lt;=15,5,tbl_Data2[[#This Row],[Tx_Count_30D]]&lt;=30,7,tbl_Data2[[#This Row],[Tx_Count_30D]]&gt;30,9)</f>
        <v>9</v>
      </c>
      <c r="M102" cm="1">
        <f t="array" ref="M102">_xlfn.IFS(
tbl_Data2[[#This Row],[Total_Amount_30D]]&lt;10000,2,
tbl_Data2[[#This Row],[Total_Amount_30D]]&lt;25000,5,
tbl_Data2[[#This Row],[Total_Amount_30D]]&lt;50000,7,
tbl_Data2[[#This Row],[Total_Amount_30D]]&gt;=50000,9
)</f>
        <v>9</v>
      </c>
      <c r="N102" cm="1">
        <f t="array" ref="N102">_xlfn.IFS(
tbl_Data2[[#This Row],[Amount_Deviation]]&lt;1.5,2,
tbl_Data2[[#This Row],[Amount_Deviation]]&lt;3,6,
tbl_Data2[[#This Row],[Amount_Deviation]]&lt;6,8,
tbl_Data2[[#This Row],[Amount_Deviation]]&gt;=6,10
)</f>
        <v>10</v>
      </c>
      <c r="O102">
        <f>ROUND(
    (tbl_Data2[[#This Row],[Geo_Score]]*0.2) +
    (tbl_Data2[[#This Row],[Velocity_Score]]*0.25) +
    (tbl_Data2[[#This Row],[Volume_Score]]*0.25) +
    (tbl_Data2[[#This Row],[Deviation_Score]]*0.3),
1
)</f>
        <v>9.3000000000000007</v>
      </c>
      <c r="P102" t="str" cm="1">
        <f t="array" ref="P102">_xlfn.IFS(
tbl_Data2[[#This Row],[Final_Risk_Score]]&lt;5.5,"Low",
tbl_Data2[[#This Row],[Final_Risk_Score]]&lt;7.5,"Medium",
tbl_Data2[[#This Row],[Final_Risk_Score]]&gt;=7.5,"High"
)</f>
        <v>High</v>
      </c>
      <c r="Q102" t="str" cm="1">
        <f t="array" ref="Q102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103" spans="1:17">
      <c r="A103" t="str">
        <f>tbl_data[[#This Row],[Customer_ID]]</f>
        <v>CUST-102</v>
      </c>
      <c r="B103" t="str">
        <f>tbl_data[[#This Row],[Customer_Type]]</f>
        <v>Individual</v>
      </c>
      <c r="C103" t="str">
        <f>tbl_data[[#This Row],[Country]]</f>
        <v>Seychelles</v>
      </c>
      <c r="D103" t="str">
        <f>tbl_data[[#This Row],[Industry]]</f>
        <v>Logistics</v>
      </c>
      <c r="E103">
        <f>tbl_data[[#This Row],[Tx_Count_30D]]</f>
        <v>58</v>
      </c>
      <c r="F103">
        <f>tbl_data[[#This Row],[Total_Amount_30D]]</f>
        <v>73987</v>
      </c>
      <c r="G103">
        <f>tbl_data[[#This Row],[Avg_Tx_Count_6M]]</f>
        <v>35</v>
      </c>
      <c r="H103">
        <f>tbl_data[[#This Row],[Avg_Total_Amount_6M]]</f>
        <v>52754</v>
      </c>
      <c r="I103">
        <f>IFERROR(tbl_Data2[[#This Row],[Tx_Count_30D]]/tbl_Data2[[#This Row],[Avg_Tx_Count_6M]],0)</f>
        <v>1.6571428571428573</v>
      </c>
      <c r="J103">
        <f>IFERROR(tbl_Data2[[#This Row],[Total_Amount_30D]]/tbl_Data2[[#This Row],[Avg_Total_Amount_6M]],0)</f>
        <v>1.40249080638435</v>
      </c>
      <c r="K103">
        <f>_xlfn.XLOOKUP(tbl_Data2[[#This Row],[Country]], Geo_Map[Country], Geo_Map[Score], 5)</f>
        <v>9</v>
      </c>
      <c r="L103" cm="1">
        <f t="array" ref="L103">_xlfn.IFS(tbl_Data2[[#This Row],[Tx_Count_30D]]&lt;=5,2,tbl_Data2[[#This Row],[Tx_Count_30D]]&lt;=15,5,tbl_Data2[[#This Row],[Tx_Count_30D]]&lt;=30,7,tbl_Data2[[#This Row],[Tx_Count_30D]]&gt;30,9)</f>
        <v>9</v>
      </c>
      <c r="M103" cm="1">
        <f t="array" ref="M103">_xlfn.IFS(
tbl_Data2[[#This Row],[Total_Amount_30D]]&lt;10000,2,
tbl_Data2[[#This Row],[Total_Amount_30D]]&lt;25000,5,
tbl_Data2[[#This Row],[Total_Amount_30D]]&lt;50000,7,
tbl_Data2[[#This Row],[Total_Amount_30D]]&gt;=50000,9
)</f>
        <v>9</v>
      </c>
      <c r="N103" cm="1">
        <f t="array" ref="N103">_xlfn.IFS(
tbl_Data2[[#This Row],[Amount_Deviation]]&lt;1.5,2,
tbl_Data2[[#This Row],[Amount_Deviation]]&lt;3,6,
tbl_Data2[[#This Row],[Amount_Deviation]]&lt;6,8,
tbl_Data2[[#This Row],[Amount_Deviation]]&gt;=6,10
)</f>
        <v>2</v>
      </c>
      <c r="O103">
        <f>ROUND(
    (tbl_Data2[[#This Row],[Geo_Score]]*0.2) +
    (tbl_Data2[[#This Row],[Velocity_Score]]*0.25) +
    (tbl_Data2[[#This Row],[Volume_Score]]*0.25) +
    (tbl_Data2[[#This Row],[Deviation_Score]]*0.3),
1
)</f>
        <v>6.9</v>
      </c>
      <c r="P103" t="str" cm="1">
        <f t="array" ref="P103">_xlfn.IFS(
tbl_Data2[[#This Row],[Final_Risk_Score]]&lt;5.5,"Low",
tbl_Data2[[#This Row],[Final_Risk_Score]]&lt;7.5,"Medium",
tbl_Data2[[#This Row],[Final_Risk_Score]]&gt;=7.5,"High"
)</f>
        <v>Medium</v>
      </c>
      <c r="Q103" t="str" cm="1">
        <f t="array" ref="Q103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04" spans="1:17">
      <c r="A104" t="str">
        <f>tbl_data[[#This Row],[Customer_ID]]</f>
        <v>CUST-103</v>
      </c>
      <c r="B104" t="str">
        <f>tbl_data[[#This Row],[Customer_Type]]</f>
        <v>Business</v>
      </c>
      <c r="C104" t="str">
        <f>tbl_data[[#This Row],[Country]]</f>
        <v>UAE</v>
      </c>
      <c r="D104" t="str">
        <f>tbl_data[[#This Row],[Industry]]</f>
        <v>Consulting</v>
      </c>
      <c r="E104">
        <f>tbl_data[[#This Row],[Tx_Count_30D]]</f>
        <v>32</v>
      </c>
      <c r="F104">
        <f>tbl_data[[#This Row],[Total_Amount_30D]]</f>
        <v>44234</v>
      </c>
      <c r="G104">
        <f>tbl_data[[#This Row],[Avg_Tx_Count_6M]]</f>
        <v>27</v>
      </c>
      <c r="H104">
        <f>tbl_data[[#This Row],[Avg_Total_Amount_6M]]</f>
        <v>23430</v>
      </c>
      <c r="I104">
        <f>IFERROR(tbl_Data2[[#This Row],[Tx_Count_30D]]/tbl_Data2[[#This Row],[Avg_Tx_Count_6M]],0)</f>
        <v>1.1851851851851851</v>
      </c>
      <c r="J104">
        <f>IFERROR(tbl_Data2[[#This Row],[Total_Amount_30D]]/tbl_Data2[[#This Row],[Avg_Total_Amount_6M]],0)</f>
        <v>1.8879214682031584</v>
      </c>
      <c r="K104">
        <f>_xlfn.XLOOKUP(tbl_Data2[[#This Row],[Country]], Geo_Map[Country], Geo_Map[Score], 5)</f>
        <v>6</v>
      </c>
      <c r="L104" cm="1">
        <f t="array" ref="L104">_xlfn.IFS(tbl_Data2[[#This Row],[Tx_Count_30D]]&lt;=5,2,tbl_Data2[[#This Row],[Tx_Count_30D]]&lt;=15,5,tbl_Data2[[#This Row],[Tx_Count_30D]]&lt;=30,7,tbl_Data2[[#This Row],[Tx_Count_30D]]&gt;30,9)</f>
        <v>9</v>
      </c>
      <c r="M104" cm="1">
        <f t="array" ref="M104">_xlfn.IFS(
tbl_Data2[[#This Row],[Total_Amount_30D]]&lt;10000,2,
tbl_Data2[[#This Row],[Total_Amount_30D]]&lt;25000,5,
tbl_Data2[[#This Row],[Total_Amount_30D]]&lt;50000,7,
tbl_Data2[[#This Row],[Total_Amount_30D]]&gt;=50000,9
)</f>
        <v>7</v>
      </c>
      <c r="N104" cm="1">
        <f t="array" ref="N104">_xlfn.IFS(
tbl_Data2[[#This Row],[Amount_Deviation]]&lt;1.5,2,
tbl_Data2[[#This Row],[Amount_Deviation]]&lt;3,6,
tbl_Data2[[#This Row],[Amount_Deviation]]&lt;6,8,
tbl_Data2[[#This Row],[Amount_Deviation]]&gt;=6,10
)</f>
        <v>6</v>
      </c>
      <c r="O104">
        <f>ROUND(
    (tbl_Data2[[#This Row],[Geo_Score]]*0.2) +
    (tbl_Data2[[#This Row],[Velocity_Score]]*0.25) +
    (tbl_Data2[[#This Row],[Volume_Score]]*0.25) +
    (tbl_Data2[[#This Row],[Deviation_Score]]*0.3),
1
)</f>
        <v>7</v>
      </c>
      <c r="P104" t="str" cm="1">
        <f t="array" ref="P104">_xlfn.IFS(
tbl_Data2[[#This Row],[Final_Risk_Score]]&lt;5.5,"Low",
tbl_Data2[[#This Row],[Final_Risk_Score]]&lt;7.5,"Medium",
tbl_Data2[[#This Row],[Final_Risk_Score]]&gt;=7.5,"High"
)</f>
        <v>Medium</v>
      </c>
      <c r="Q104" t="str" cm="1">
        <f t="array" ref="Q104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05" spans="1:17" hidden="1">
      <c r="A105" t="str">
        <f>tbl_data[[#This Row],[Customer_ID]]</f>
        <v>CUST-104</v>
      </c>
      <c r="B105" t="str">
        <f>tbl_data[[#This Row],[Customer_Type]]</f>
        <v>Individual</v>
      </c>
      <c r="C105" t="str">
        <f>tbl_data[[#This Row],[Country]]</f>
        <v>BVI</v>
      </c>
      <c r="D105" t="str">
        <f>tbl_data[[#This Row],[Industry]]</f>
        <v>IT Services</v>
      </c>
      <c r="E105">
        <f>tbl_data[[#This Row],[Tx_Count_30D]]</f>
        <v>46</v>
      </c>
      <c r="F105">
        <f>tbl_data[[#This Row],[Total_Amount_30D]]</f>
        <v>32426</v>
      </c>
      <c r="G105">
        <f>tbl_data[[#This Row],[Avg_Tx_Count_6M]]</f>
        <v>5</v>
      </c>
      <c r="H105">
        <f>tbl_data[[#This Row],[Avg_Total_Amount_6M]]</f>
        <v>4235</v>
      </c>
      <c r="I105">
        <f>IFERROR(tbl_Data2[[#This Row],[Tx_Count_30D]]/tbl_Data2[[#This Row],[Avg_Tx_Count_6M]],0)</f>
        <v>9.1999999999999993</v>
      </c>
      <c r="J105">
        <f>IFERROR(tbl_Data2[[#This Row],[Total_Amount_30D]]/tbl_Data2[[#This Row],[Avg_Total_Amount_6M]],0)</f>
        <v>7.6566706021251472</v>
      </c>
      <c r="K105">
        <f>_xlfn.XLOOKUP(tbl_Data2[[#This Row],[Country]], Geo_Map[Country], Geo_Map[Score], 5)</f>
        <v>9</v>
      </c>
      <c r="L105" cm="1">
        <f t="array" ref="L105">_xlfn.IFS(tbl_Data2[[#This Row],[Tx_Count_30D]]&lt;=5,2,tbl_Data2[[#This Row],[Tx_Count_30D]]&lt;=15,5,tbl_Data2[[#This Row],[Tx_Count_30D]]&lt;=30,7,tbl_Data2[[#This Row],[Tx_Count_30D]]&gt;30,9)</f>
        <v>9</v>
      </c>
      <c r="M105" cm="1">
        <f t="array" ref="M105">_xlfn.IFS(
tbl_Data2[[#This Row],[Total_Amount_30D]]&lt;10000,2,
tbl_Data2[[#This Row],[Total_Amount_30D]]&lt;25000,5,
tbl_Data2[[#This Row],[Total_Amount_30D]]&lt;50000,7,
tbl_Data2[[#This Row],[Total_Amount_30D]]&gt;=50000,9
)</f>
        <v>7</v>
      </c>
      <c r="N105" cm="1">
        <f t="array" ref="N105">_xlfn.IFS(
tbl_Data2[[#This Row],[Amount_Deviation]]&lt;1.5,2,
tbl_Data2[[#This Row],[Amount_Deviation]]&lt;3,6,
tbl_Data2[[#This Row],[Amount_Deviation]]&lt;6,8,
tbl_Data2[[#This Row],[Amount_Deviation]]&gt;=6,10
)</f>
        <v>10</v>
      </c>
      <c r="O105">
        <f>ROUND(
    (tbl_Data2[[#This Row],[Geo_Score]]*0.2) +
    (tbl_Data2[[#This Row],[Velocity_Score]]*0.25) +
    (tbl_Data2[[#This Row],[Volume_Score]]*0.25) +
    (tbl_Data2[[#This Row],[Deviation_Score]]*0.3),
1
)</f>
        <v>8.8000000000000007</v>
      </c>
      <c r="P105" t="str" cm="1">
        <f t="array" ref="P105">_xlfn.IFS(
tbl_Data2[[#This Row],[Final_Risk_Score]]&lt;5.5,"Low",
tbl_Data2[[#This Row],[Final_Risk_Score]]&lt;7.5,"Medium",
tbl_Data2[[#This Row],[Final_Risk_Score]]&gt;=7.5,"High"
)</f>
        <v>High</v>
      </c>
      <c r="Q105" t="str" cm="1">
        <f t="array" ref="Q105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106" spans="1:17" hidden="1">
      <c r="A106" t="str">
        <f>tbl_data[[#This Row],[Customer_ID]]</f>
        <v>CUST-105</v>
      </c>
      <c r="B106" t="str">
        <f>tbl_data[[#This Row],[Customer_Type]]</f>
        <v>Business</v>
      </c>
      <c r="C106" t="str">
        <f>tbl_data[[#This Row],[Country]]</f>
        <v>USA</v>
      </c>
      <c r="D106" t="str">
        <f>tbl_data[[#This Row],[Industry]]</f>
        <v>Import/Export</v>
      </c>
      <c r="E106">
        <f>tbl_data[[#This Row],[Tx_Count_30D]]</f>
        <v>30</v>
      </c>
      <c r="F106">
        <f>tbl_data[[#This Row],[Total_Amount_30D]]</f>
        <v>3786</v>
      </c>
      <c r="G106">
        <f>tbl_data[[#This Row],[Avg_Tx_Count_6M]]</f>
        <v>16</v>
      </c>
      <c r="H106">
        <f>tbl_data[[#This Row],[Avg_Total_Amount_6M]]</f>
        <v>1716</v>
      </c>
      <c r="I106">
        <f>IFERROR(tbl_Data2[[#This Row],[Tx_Count_30D]]/tbl_Data2[[#This Row],[Avg_Tx_Count_6M]],0)</f>
        <v>1.875</v>
      </c>
      <c r="J106">
        <f>IFERROR(tbl_Data2[[#This Row],[Total_Amount_30D]]/tbl_Data2[[#This Row],[Avg_Total_Amount_6M]],0)</f>
        <v>2.2062937062937062</v>
      </c>
      <c r="K106">
        <f>_xlfn.XLOOKUP(tbl_Data2[[#This Row],[Country]], Geo_Map[Country], Geo_Map[Score], 5)</f>
        <v>1</v>
      </c>
      <c r="L106" cm="1">
        <f t="array" ref="L106">_xlfn.IFS(tbl_Data2[[#This Row],[Tx_Count_30D]]&lt;=5,2,tbl_Data2[[#This Row],[Tx_Count_30D]]&lt;=15,5,tbl_Data2[[#This Row],[Tx_Count_30D]]&lt;=30,7,tbl_Data2[[#This Row],[Tx_Count_30D]]&gt;30,9)</f>
        <v>7</v>
      </c>
      <c r="M106" cm="1">
        <f t="array" ref="M106">_xlfn.IFS(
tbl_Data2[[#This Row],[Total_Amount_30D]]&lt;10000,2,
tbl_Data2[[#This Row],[Total_Amount_30D]]&lt;25000,5,
tbl_Data2[[#This Row],[Total_Amount_30D]]&lt;50000,7,
tbl_Data2[[#This Row],[Total_Amount_30D]]&gt;=50000,9
)</f>
        <v>2</v>
      </c>
      <c r="N106" cm="1">
        <f t="array" ref="N106">_xlfn.IFS(
tbl_Data2[[#This Row],[Amount_Deviation]]&lt;1.5,2,
tbl_Data2[[#This Row],[Amount_Deviation]]&lt;3,6,
tbl_Data2[[#This Row],[Amount_Deviation]]&lt;6,8,
tbl_Data2[[#This Row],[Amount_Deviation]]&gt;=6,10
)</f>
        <v>6</v>
      </c>
      <c r="O106">
        <f>ROUND(
    (tbl_Data2[[#This Row],[Geo_Score]]*0.2) +
    (tbl_Data2[[#This Row],[Velocity_Score]]*0.25) +
    (tbl_Data2[[#This Row],[Volume_Score]]*0.25) +
    (tbl_Data2[[#This Row],[Deviation_Score]]*0.3),
1
)</f>
        <v>4.3</v>
      </c>
      <c r="P106" t="str" cm="1">
        <f t="array" ref="P106">_xlfn.IFS(
tbl_Data2[[#This Row],[Final_Risk_Score]]&lt;5.5,"Low",
tbl_Data2[[#This Row],[Final_Risk_Score]]&lt;7.5,"Medium",
tbl_Data2[[#This Row],[Final_Risk_Score]]&gt;=7.5,"High"
)</f>
        <v>Low</v>
      </c>
      <c r="Q106" t="str" cm="1">
        <f t="array" ref="Q106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107" spans="1:17">
      <c r="A107" t="str">
        <f>tbl_data[[#This Row],[Customer_ID]]</f>
        <v>CUST-106</v>
      </c>
      <c r="B107" t="str">
        <f>tbl_data[[#This Row],[Customer_Type]]</f>
        <v>Business</v>
      </c>
      <c r="C107" t="str">
        <f>tbl_data[[#This Row],[Country]]</f>
        <v>Panama</v>
      </c>
      <c r="D107" t="str">
        <f>tbl_data[[#This Row],[Industry]]</f>
        <v>Manufacturing</v>
      </c>
      <c r="E107">
        <f>tbl_data[[#This Row],[Tx_Count_30D]]</f>
        <v>21</v>
      </c>
      <c r="F107">
        <f>tbl_data[[#This Row],[Total_Amount_30D]]</f>
        <v>18867</v>
      </c>
      <c r="G107">
        <f>tbl_data[[#This Row],[Avg_Tx_Count_6M]]</f>
        <v>7</v>
      </c>
      <c r="H107">
        <f>tbl_data[[#This Row],[Avg_Total_Amount_6M]]</f>
        <v>7380</v>
      </c>
      <c r="I107">
        <f>IFERROR(tbl_Data2[[#This Row],[Tx_Count_30D]]/tbl_Data2[[#This Row],[Avg_Tx_Count_6M]],0)</f>
        <v>3</v>
      </c>
      <c r="J107">
        <f>IFERROR(tbl_Data2[[#This Row],[Total_Amount_30D]]/tbl_Data2[[#This Row],[Avg_Total_Amount_6M]],0)</f>
        <v>2.5565040650406505</v>
      </c>
      <c r="K107">
        <f>_xlfn.XLOOKUP(tbl_Data2[[#This Row],[Country]], Geo_Map[Country], Geo_Map[Score], 5)</f>
        <v>8</v>
      </c>
      <c r="L107" cm="1">
        <f t="array" ref="L107">_xlfn.IFS(tbl_Data2[[#This Row],[Tx_Count_30D]]&lt;=5,2,tbl_Data2[[#This Row],[Tx_Count_30D]]&lt;=15,5,tbl_Data2[[#This Row],[Tx_Count_30D]]&lt;=30,7,tbl_Data2[[#This Row],[Tx_Count_30D]]&gt;30,9)</f>
        <v>7</v>
      </c>
      <c r="M107" cm="1">
        <f t="array" ref="M107">_xlfn.IFS(
tbl_Data2[[#This Row],[Total_Amount_30D]]&lt;10000,2,
tbl_Data2[[#This Row],[Total_Amount_30D]]&lt;25000,5,
tbl_Data2[[#This Row],[Total_Amount_30D]]&lt;50000,7,
tbl_Data2[[#This Row],[Total_Amount_30D]]&gt;=50000,9
)</f>
        <v>5</v>
      </c>
      <c r="N107" cm="1">
        <f t="array" ref="N107">_xlfn.IFS(
tbl_Data2[[#This Row],[Amount_Deviation]]&lt;1.5,2,
tbl_Data2[[#This Row],[Amount_Deviation]]&lt;3,6,
tbl_Data2[[#This Row],[Amount_Deviation]]&lt;6,8,
tbl_Data2[[#This Row],[Amount_Deviation]]&gt;=6,10
)</f>
        <v>6</v>
      </c>
      <c r="O107">
        <f>ROUND(
    (tbl_Data2[[#This Row],[Geo_Score]]*0.2) +
    (tbl_Data2[[#This Row],[Velocity_Score]]*0.25) +
    (tbl_Data2[[#This Row],[Volume_Score]]*0.25) +
    (tbl_Data2[[#This Row],[Deviation_Score]]*0.3),
1
)</f>
        <v>6.4</v>
      </c>
      <c r="P107" t="str" cm="1">
        <f t="array" ref="P107">_xlfn.IFS(
tbl_Data2[[#This Row],[Final_Risk_Score]]&lt;5.5,"Low",
tbl_Data2[[#This Row],[Final_Risk_Score]]&lt;7.5,"Medium",
tbl_Data2[[#This Row],[Final_Risk_Score]]&gt;=7.5,"High"
)</f>
        <v>Medium</v>
      </c>
      <c r="Q107" t="str" cm="1">
        <f t="array" ref="Q107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08" spans="1:17">
      <c r="A108" t="str">
        <f>tbl_data[[#This Row],[Customer_ID]]</f>
        <v>CUST-107</v>
      </c>
      <c r="B108" t="str">
        <f>tbl_data[[#This Row],[Customer_Type]]</f>
        <v>Individual</v>
      </c>
      <c r="C108" t="str">
        <f>tbl_data[[#This Row],[Country]]</f>
        <v>Seychelles</v>
      </c>
      <c r="D108" t="str">
        <f>tbl_data[[#This Row],[Industry]]</f>
        <v>Import/Export</v>
      </c>
      <c r="E108">
        <f>tbl_data[[#This Row],[Tx_Count_30D]]</f>
        <v>22</v>
      </c>
      <c r="F108">
        <f>tbl_data[[#This Row],[Total_Amount_30D]]</f>
        <v>42933</v>
      </c>
      <c r="G108">
        <f>tbl_data[[#This Row],[Avg_Tx_Count_6M]]</f>
        <v>1</v>
      </c>
      <c r="H108">
        <f>tbl_data[[#This Row],[Avg_Total_Amount_6M]]</f>
        <v>48739</v>
      </c>
      <c r="I108">
        <f>IFERROR(tbl_Data2[[#This Row],[Tx_Count_30D]]/tbl_Data2[[#This Row],[Avg_Tx_Count_6M]],0)</f>
        <v>22</v>
      </c>
      <c r="J108">
        <f>IFERROR(tbl_Data2[[#This Row],[Total_Amount_30D]]/tbl_Data2[[#This Row],[Avg_Total_Amount_6M]],0)</f>
        <v>0.88087568476989675</v>
      </c>
      <c r="K108">
        <f>_xlfn.XLOOKUP(tbl_Data2[[#This Row],[Country]], Geo_Map[Country], Geo_Map[Score], 5)</f>
        <v>9</v>
      </c>
      <c r="L108" cm="1">
        <f t="array" ref="L108">_xlfn.IFS(tbl_Data2[[#This Row],[Tx_Count_30D]]&lt;=5,2,tbl_Data2[[#This Row],[Tx_Count_30D]]&lt;=15,5,tbl_Data2[[#This Row],[Tx_Count_30D]]&lt;=30,7,tbl_Data2[[#This Row],[Tx_Count_30D]]&gt;30,9)</f>
        <v>7</v>
      </c>
      <c r="M108" cm="1">
        <f t="array" ref="M108">_xlfn.IFS(
tbl_Data2[[#This Row],[Total_Amount_30D]]&lt;10000,2,
tbl_Data2[[#This Row],[Total_Amount_30D]]&lt;25000,5,
tbl_Data2[[#This Row],[Total_Amount_30D]]&lt;50000,7,
tbl_Data2[[#This Row],[Total_Amount_30D]]&gt;=50000,9
)</f>
        <v>7</v>
      </c>
      <c r="N108" cm="1">
        <f t="array" ref="N108">_xlfn.IFS(
tbl_Data2[[#This Row],[Amount_Deviation]]&lt;1.5,2,
tbl_Data2[[#This Row],[Amount_Deviation]]&lt;3,6,
tbl_Data2[[#This Row],[Amount_Deviation]]&lt;6,8,
tbl_Data2[[#This Row],[Amount_Deviation]]&gt;=6,10
)</f>
        <v>2</v>
      </c>
      <c r="O108">
        <f>ROUND(
    (tbl_Data2[[#This Row],[Geo_Score]]*0.2) +
    (tbl_Data2[[#This Row],[Velocity_Score]]*0.25) +
    (tbl_Data2[[#This Row],[Volume_Score]]*0.25) +
    (tbl_Data2[[#This Row],[Deviation_Score]]*0.3),
1
)</f>
        <v>5.9</v>
      </c>
      <c r="P108" t="str" cm="1">
        <f t="array" ref="P108">_xlfn.IFS(
tbl_Data2[[#This Row],[Final_Risk_Score]]&lt;5.5,"Low",
tbl_Data2[[#This Row],[Final_Risk_Score]]&lt;7.5,"Medium",
tbl_Data2[[#This Row],[Final_Risk_Score]]&gt;=7.5,"High"
)</f>
        <v>Medium</v>
      </c>
      <c r="Q108" t="str" cm="1">
        <f t="array" ref="Q108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09" spans="1:17" hidden="1">
      <c r="A109" t="str">
        <f>tbl_data[[#This Row],[Customer_ID]]</f>
        <v>CUST-108</v>
      </c>
      <c r="B109" t="str">
        <f>tbl_data[[#This Row],[Customer_Type]]</f>
        <v>Business</v>
      </c>
      <c r="C109" t="str">
        <f>tbl_data[[#This Row],[Country]]</f>
        <v>BVI</v>
      </c>
      <c r="D109" t="str">
        <f>tbl_data[[#This Row],[Industry]]</f>
        <v>Consulting</v>
      </c>
      <c r="E109">
        <f>tbl_data[[#This Row],[Tx_Count_30D]]</f>
        <v>28</v>
      </c>
      <c r="F109">
        <f>tbl_data[[#This Row],[Total_Amount_30D]]</f>
        <v>119643</v>
      </c>
      <c r="G109">
        <f>tbl_data[[#This Row],[Avg_Tx_Count_6M]]</f>
        <v>17</v>
      </c>
      <c r="H109">
        <f>tbl_data[[#This Row],[Avg_Total_Amount_6M]]</f>
        <v>36060</v>
      </c>
      <c r="I109">
        <f>IFERROR(tbl_Data2[[#This Row],[Tx_Count_30D]]/tbl_Data2[[#This Row],[Avg_Tx_Count_6M]],0)</f>
        <v>1.6470588235294117</v>
      </c>
      <c r="J109">
        <f>IFERROR(tbl_Data2[[#This Row],[Total_Amount_30D]]/tbl_Data2[[#This Row],[Avg_Total_Amount_6M]],0)</f>
        <v>3.3178868552412646</v>
      </c>
      <c r="K109">
        <f>_xlfn.XLOOKUP(tbl_Data2[[#This Row],[Country]], Geo_Map[Country], Geo_Map[Score], 5)</f>
        <v>9</v>
      </c>
      <c r="L109" cm="1">
        <f t="array" ref="L109">_xlfn.IFS(tbl_Data2[[#This Row],[Tx_Count_30D]]&lt;=5,2,tbl_Data2[[#This Row],[Tx_Count_30D]]&lt;=15,5,tbl_Data2[[#This Row],[Tx_Count_30D]]&lt;=30,7,tbl_Data2[[#This Row],[Tx_Count_30D]]&gt;30,9)</f>
        <v>7</v>
      </c>
      <c r="M109" cm="1">
        <f t="array" ref="M109">_xlfn.IFS(
tbl_Data2[[#This Row],[Total_Amount_30D]]&lt;10000,2,
tbl_Data2[[#This Row],[Total_Amount_30D]]&lt;25000,5,
tbl_Data2[[#This Row],[Total_Amount_30D]]&lt;50000,7,
tbl_Data2[[#This Row],[Total_Amount_30D]]&gt;=50000,9
)</f>
        <v>9</v>
      </c>
      <c r="N109" cm="1">
        <f t="array" ref="N109">_xlfn.IFS(
tbl_Data2[[#This Row],[Amount_Deviation]]&lt;1.5,2,
tbl_Data2[[#This Row],[Amount_Deviation]]&lt;3,6,
tbl_Data2[[#This Row],[Amount_Deviation]]&lt;6,8,
tbl_Data2[[#This Row],[Amount_Deviation]]&gt;=6,10
)</f>
        <v>8</v>
      </c>
      <c r="O109">
        <f>ROUND(
    (tbl_Data2[[#This Row],[Geo_Score]]*0.2) +
    (tbl_Data2[[#This Row],[Velocity_Score]]*0.25) +
    (tbl_Data2[[#This Row],[Volume_Score]]*0.25) +
    (tbl_Data2[[#This Row],[Deviation_Score]]*0.3),
1
)</f>
        <v>8.1999999999999993</v>
      </c>
      <c r="P109" t="str" cm="1">
        <f t="array" ref="P109">_xlfn.IFS(
tbl_Data2[[#This Row],[Final_Risk_Score]]&lt;5.5,"Low",
tbl_Data2[[#This Row],[Final_Risk_Score]]&lt;7.5,"Medium",
tbl_Data2[[#This Row],[Final_Risk_Score]]&gt;=7.5,"High"
)</f>
        <v>High</v>
      </c>
      <c r="Q109" t="str" cm="1">
        <f t="array" ref="Q109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110" spans="1:17">
      <c r="A110" t="str">
        <f>tbl_data[[#This Row],[Customer_ID]]</f>
        <v>CUST-109</v>
      </c>
      <c r="B110" t="str">
        <f>tbl_data[[#This Row],[Customer_Type]]</f>
        <v>Business</v>
      </c>
      <c r="C110" t="str">
        <f>tbl_data[[#This Row],[Country]]</f>
        <v>Seychelles</v>
      </c>
      <c r="D110" t="str">
        <f>tbl_data[[#This Row],[Industry]]</f>
        <v>Manufacturing</v>
      </c>
      <c r="E110">
        <f>tbl_data[[#This Row],[Tx_Count_30D]]</f>
        <v>17</v>
      </c>
      <c r="F110">
        <f>tbl_data[[#This Row],[Total_Amount_30D]]</f>
        <v>65531</v>
      </c>
      <c r="G110">
        <f>tbl_data[[#This Row],[Avg_Tx_Count_6M]]</f>
        <v>31</v>
      </c>
      <c r="H110">
        <f>tbl_data[[#This Row],[Avg_Total_Amount_6M]]</f>
        <v>77197</v>
      </c>
      <c r="I110">
        <f>IFERROR(tbl_Data2[[#This Row],[Tx_Count_30D]]/tbl_Data2[[#This Row],[Avg_Tx_Count_6M]],0)</f>
        <v>0.54838709677419351</v>
      </c>
      <c r="J110">
        <f>IFERROR(tbl_Data2[[#This Row],[Total_Amount_30D]]/tbl_Data2[[#This Row],[Avg_Total_Amount_6M]],0)</f>
        <v>0.84888013782919025</v>
      </c>
      <c r="K110">
        <f>_xlfn.XLOOKUP(tbl_Data2[[#This Row],[Country]], Geo_Map[Country], Geo_Map[Score], 5)</f>
        <v>9</v>
      </c>
      <c r="L110" cm="1">
        <f t="array" ref="L110">_xlfn.IFS(tbl_Data2[[#This Row],[Tx_Count_30D]]&lt;=5,2,tbl_Data2[[#This Row],[Tx_Count_30D]]&lt;=15,5,tbl_Data2[[#This Row],[Tx_Count_30D]]&lt;=30,7,tbl_Data2[[#This Row],[Tx_Count_30D]]&gt;30,9)</f>
        <v>7</v>
      </c>
      <c r="M110" cm="1">
        <f t="array" ref="M110">_xlfn.IFS(
tbl_Data2[[#This Row],[Total_Amount_30D]]&lt;10000,2,
tbl_Data2[[#This Row],[Total_Amount_30D]]&lt;25000,5,
tbl_Data2[[#This Row],[Total_Amount_30D]]&lt;50000,7,
tbl_Data2[[#This Row],[Total_Amount_30D]]&gt;=50000,9
)</f>
        <v>9</v>
      </c>
      <c r="N110" cm="1">
        <f t="array" ref="N110">_xlfn.IFS(
tbl_Data2[[#This Row],[Amount_Deviation]]&lt;1.5,2,
tbl_Data2[[#This Row],[Amount_Deviation]]&lt;3,6,
tbl_Data2[[#This Row],[Amount_Deviation]]&lt;6,8,
tbl_Data2[[#This Row],[Amount_Deviation]]&gt;=6,10
)</f>
        <v>2</v>
      </c>
      <c r="O110">
        <f>ROUND(
    (tbl_Data2[[#This Row],[Geo_Score]]*0.2) +
    (tbl_Data2[[#This Row],[Velocity_Score]]*0.25) +
    (tbl_Data2[[#This Row],[Volume_Score]]*0.25) +
    (tbl_Data2[[#This Row],[Deviation_Score]]*0.3),
1
)</f>
        <v>6.4</v>
      </c>
      <c r="P110" t="str" cm="1">
        <f t="array" ref="P110">_xlfn.IFS(
tbl_Data2[[#This Row],[Final_Risk_Score]]&lt;5.5,"Low",
tbl_Data2[[#This Row],[Final_Risk_Score]]&lt;7.5,"Medium",
tbl_Data2[[#This Row],[Final_Risk_Score]]&gt;=7.5,"High"
)</f>
        <v>Medium</v>
      </c>
      <c r="Q110" t="str" cm="1">
        <f t="array" ref="Q110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11" spans="1:17" hidden="1">
      <c r="A111" t="str">
        <f>tbl_data[[#This Row],[Customer_ID]]</f>
        <v>CUST-110</v>
      </c>
      <c r="B111" t="str">
        <f>tbl_data[[#This Row],[Customer_Type]]</f>
        <v>Business</v>
      </c>
      <c r="C111" t="str">
        <f>tbl_data[[#This Row],[Country]]</f>
        <v>BVI</v>
      </c>
      <c r="D111" t="str">
        <f>tbl_data[[#This Row],[Industry]]</f>
        <v>Logistics</v>
      </c>
      <c r="E111">
        <f>tbl_data[[#This Row],[Tx_Count_30D]]</f>
        <v>12</v>
      </c>
      <c r="F111">
        <f>tbl_data[[#This Row],[Total_Amount_30D]]</f>
        <v>4715</v>
      </c>
      <c r="G111">
        <f>tbl_data[[#This Row],[Avg_Tx_Count_6M]]</f>
        <v>4</v>
      </c>
      <c r="H111">
        <f>tbl_data[[#This Row],[Avg_Total_Amount_6M]]</f>
        <v>1969</v>
      </c>
      <c r="I111">
        <f>IFERROR(tbl_Data2[[#This Row],[Tx_Count_30D]]/tbl_Data2[[#This Row],[Avg_Tx_Count_6M]],0)</f>
        <v>3</v>
      </c>
      <c r="J111">
        <f>IFERROR(tbl_Data2[[#This Row],[Total_Amount_30D]]/tbl_Data2[[#This Row],[Avg_Total_Amount_6M]],0)</f>
        <v>2.3946165566277298</v>
      </c>
      <c r="K111">
        <f>_xlfn.XLOOKUP(tbl_Data2[[#This Row],[Country]], Geo_Map[Country], Geo_Map[Score], 5)</f>
        <v>9</v>
      </c>
      <c r="L111" cm="1">
        <f t="array" ref="L111">_xlfn.IFS(tbl_Data2[[#This Row],[Tx_Count_30D]]&lt;=5,2,tbl_Data2[[#This Row],[Tx_Count_30D]]&lt;=15,5,tbl_Data2[[#This Row],[Tx_Count_30D]]&lt;=30,7,tbl_Data2[[#This Row],[Tx_Count_30D]]&gt;30,9)</f>
        <v>5</v>
      </c>
      <c r="M111" cm="1">
        <f t="array" ref="M111">_xlfn.IFS(
tbl_Data2[[#This Row],[Total_Amount_30D]]&lt;10000,2,
tbl_Data2[[#This Row],[Total_Amount_30D]]&lt;25000,5,
tbl_Data2[[#This Row],[Total_Amount_30D]]&lt;50000,7,
tbl_Data2[[#This Row],[Total_Amount_30D]]&gt;=50000,9
)</f>
        <v>2</v>
      </c>
      <c r="N111" cm="1">
        <f t="array" ref="N111">_xlfn.IFS(
tbl_Data2[[#This Row],[Amount_Deviation]]&lt;1.5,2,
tbl_Data2[[#This Row],[Amount_Deviation]]&lt;3,6,
tbl_Data2[[#This Row],[Amount_Deviation]]&lt;6,8,
tbl_Data2[[#This Row],[Amount_Deviation]]&gt;=6,10
)</f>
        <v>6</v>
      </c>
      <c r="O111">
        <f>ROUND(
    (tbl_Data2[[#This Row],[Geo_Score]]*0.2) +
    (tbl_Data2[[#This Row],[Velocity_Score]]*0.25) +
    (tbl_Data2[[#This Row],[Volume_Score]]*0.25) +
    (tbl_Data2[[#This Row],[Deviation_Score]]*0.3),
1
)</f>
        <v>5.4</v>
      </c>
      <c r="P111" t="str" cm="1">
        <f t="array" ref="P111">_xlfn.IFS(
tbl_Data2[[#This Row],[Final_Risk_Score]]&lt;5.5,"Low",
tbl_Data2[[#This Row],[Final_Risk_Score]]&lt;7.5,"Medium",
tbl_Data2[[#This Row],[Final_Risk_Score]]&gt;=7.5,"High"
)</f>
        <v>Low</v>
      </c>
      <c r="Q111" t="str" cm="1">
        <f t="array" ref="Q111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112" spans="1:17" hidden="1">
      <c r="A112" t="str">
        <f>tbl_data[[#This Row],[Customer_ID]]</f>
        <v>CUST-111</v>
      </c>
      <c r="B112" t="str">
        <f>tbl_data[[#This Row],[Customer_Type]]</f>
        <v>Business</v>
      </c>
      <c r="C112" t="str">
        <f>tbl_data[[#This Row],[Country]]</f>
        <v>BVI</v>
      </c>
      <c r="D112" t="str">
        <f>tbl_data[[#This Row],[Industry]]</f>
        <v>Logistics</v>
      </c>
      <c r="E112">
        <f>tbl_data[[#This Row],[Tx_Count_30D]]</f>
        <v>37</v>
      </c>
      <c r="F112">
        <f>tbl_data[[#This Row],[Total_Amount_30D]]</f>
        <v>115008</v>
      </c>
      <c r="G112">
        <f>tbl_data[[#This Row],[Avg_Tx_Count_6M]]</f>
        <v>19</v>
      </c>
      <c r="H112">
        <f>tbl_data[[#This Row],[Avg_Total_Amount_6M]]</f>
        <v>5482</v>
      </c>
      <c r="I112">
        <f>IFERROR(tbl_Data2[[#This Row],[Tx_Count_30D]]/tbl_Data2[[#This Row],[Avg_Tx_Count_6M]],0)</f>
        <v>1.9473684210526316</v>
      </c>
      <c r="J112">
        <f>IFERROR(tbl_Data2[[#This Row],[Total_Amount_30D]]/tbl_Data2[[#This Row],[Avg_Total_Amount_6M]],0)</f>
        <v>20.97920466982853</v>
      </c>
      <c r="K112">
        <f>_xlfn.XLOOKUP(tbl_Data2[[#This Row],[Country]], Geo_Map[Country], Geo_Map[Score], 5)</f>
        <v>9</v>
      </c>
      <c r="L112" cm="1">
        <f t="array" ref="L112">_xlfn.IFS(tbl_Data2[[#This Row],[Tx_Count_30D]]&lt;=5,2,tbl_Data2[[#This Row],[Tx_Count_30D]]&lt;=15,5,tbl_Data2[[#This Row],[Tx_Count_30D]]&lt;=30,7,tbl_Data2[[#This Row],[Tx_Count_30D]]&gt;30,9)</f>
        <v>9</v>
      </c>
      <c r="M112" cm="1">
        <f t="array" ref="M112">_xlfn.IFS(
tbl_Data2[[#This Row],[Total_Amount_30D]]&lt;10000,2,
tbl_Data2[[#This Row],[Total_Amount_30D]]&lt;25000,5,
tbl_Data2[[#This Row],[Total_Amount_30D]]&lt;50000,7,
tbl_Data2[[#This Row],[Total_Amount_30D]]&gt;=50000,9
)</f>
        <v>9</v>
      </c>
      <c r="N112" cm="1">
        <f t="array" ref="N112">_xlfn.IFS(
tbl_Data2[[#This Row],[Amount_Deviation]]&lt;1.5,2,
tbl_Data2[[#This Row],[Amount_Deviation]]&lt;3,6,
tbl_Data2[[#This Row],[Amount_Deviation]]&lt;6,8,
tbl_Data2[[#This Row],[Amount_Deviation]]&gt;=6,10
)</f>
        <v>10</v>
      </c>
      <c r="O112">
        <f>ROUND(
    (tbl_Data2[[#This Row],[Geo_Score]]*0.2) +
    (tbl_Data2[[#This Row],[Velocity_Score]]*0.25) +
    (tbl_Data2[[#This Row],[Volume_Score]]*0.25) +
    (tbl_Data2[[#This Row],[Deviation_Score]]*0.3),
1
)</f>
        <v>9.3000000000000007</v>
      </c>
      <c r="P112" t="str" cm="1">
        <f t="array" ref="P112">_xlfn.IFS(
tbl_Data2[[#This Row],[Final_Risk_Score]]&lt;5.5,"Low",
tbl_Data2[[#This Row],[Final_Risk_Score]]&lt;7.5,"Medium",
tbl_Data2[[#This Row],[Final_Risk_Score]]&gt;=7.5,"High"
)</f>
        <v>High</v>
      </c>
      <c r="Q112" t="str" cm="1">
        <f t="array" ref="Q112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113" spans="1:17" hidden="1">
      <c r="A113" t="str">
        <f>tbl_data[[#This Row],[Customer_ID]]</f>
        <v>CUST-112</v>
      </c>
      <c r="B113" t="str">
        <f>tbl_data[[#This Row],[Customer_Type]]</f>
        <v>Business</v>
      </c>
      <c r="C113" t="str">
        <f>tbl_data[[#This Row],[Country]]</f>
        <v>USA</v>
      </c>
      <c r="D113" t="str">
        <f>tbl_data[[#This Row],[Industry]]</f>
        <v>Manufacturing</v>
      </c>
      <c r="E113">
        <f>tbl_data[[#This Row],[Tx_Count_30D]]</f>
        <v>42</v>
      </c>
      <c r="F113">
        <f>tbl_data[[#This Row],[Total_Amount_30D]]</f>
        <v>22998</v>
      </c>
      <c r="G113">
        <f>tbl_data[[#This Row],[Avg_Tx_Count_6M]]</f>
        <v>16</v>
      </c>
      <c r="H113">
        <f>tbl_data[[#This Row],[Avg_Total_Amount_6M]]</f>
        <v>21699</v>
      </c>
      <c r="I113">
        <f>IFERROR(tbl_Data2[[#This Row],[Tx_Count_30D]]/tbl_Data2[[#This Row],[Avg_Tx_Count_6M]],0)</f>
        <v>2.625</v>
      </c>
      <c r="J113">
        <f>IFERROR(tbl_Data2[[#This Row],[Total_Amount_30D]]/tbl_Data2[[#This Row],[Avg_Total_Amount_6M]],0)</f>
        <v>1.0598645098852482</v>
      </c>
      <c r="K113">
        <f>_xlfn.XLOOKUP(tbl_Data2[[#This Row],[Country]], Geo_Map[Country], Geo_Map[Score], 5)</f>
        <v>1</v>
      </c>
      <c r="L113" cm="1">
        <f t="array" ref="L113">_xlfn.IFS(tbl_Data2[[#This Row],[Tx_Count_30D]]&lt;=5,2,tbl_Data2[[#This Row],[Tx_Count_30D]]&lt;=15,5,tbl_Data2[[#This Row],[Tx_Count_30D]]&lt;=30,7,tbl_Data2[[#This Row],[Tx_Count_30D]]&gt;30,9)</f>
        <v>9</v>
      </c>
      <c r="M113" cm="1">
        <f t="array" ref="M113">_xlfn.IFS(
tbl_Data2[[#This Row],[Total_Amount_30D]]&lt;10000,2,
tbl_Data2[[#This Row],[Total_Amount_30D]]&lt;25000,5,
tbl_Data2[[#This Row],[Total_Amount_30D]]&lt;50000,7,
tbl_Data2[[#This Row],[Total_Amount_30D]]&gt;=50000,9
)</f>
        <v>5</v>
      </c>
      <c r="N113" cm="1">
        <f t="array" ref="N113">_xlfn.IFS(
tbl_Data2[[#This Row],[Amount_Deviation]]&lt;1.5,2,
tbl_Data2[[#This Row],[Amount_Deviation]]&lt;3,6,
tbl_Data2[[#This Row],[Amount_Deviation]]&lt;6,8,
tbl_Data2[[#This Row],[Amount_Deviation]]&gt;=6,10
)</f>
        <v>2</v>
      </c>
      <c r="O113">
        <f>ROUND(
    (tbl_Data2[[#This Row],[Geo_Score]]*0.2) +
    (tbl_Data2[[#This Row],[Velocity_Score]]*0.25) +
    (tbl_Data2[[#This Row],[Volume_Score]]*0.25) +
    (tbl_Data2[[#This Row],[Deviation_Score]]*0.3),
1
)</f>
        <v>4.3</v>
      </c>
      <c r="P113" t="str" cm="1">
        <f t="array" ref="P113">_xlfn.IFS(
tbl_Data2[[#This Row],[Final_Risk_Score]]&lt;5.5,"Low",
tbl_Data2[[#This Row],[Final_Risk_Score]]&lt;7.5,"Medium",
tbl_Data2[[#This Row],[Final_Risk_Score]]&gt;=7.5,"High"
)</f>
        <v>Low</v>
      </c>
      <c r="Q113" t="str" cm="1">
        <f t="array" ref="Q113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114" spans="1:17">
      <c r="A114" t="str">
        <f>tbl_data[[#This Row],[Customer_ID]]</f>
        <v>CUST-113</v>
      </c>
      <c r="B114" t="str">
        <f>tbl_data[[#This Row],[Customer_Type]]</f>
        <v>Individual</v>
      </c>
      <c r="C114" t="str">
        <f>tbl_data[[#This Row],[Country]]</f>
        <v>Panama</v>
      </c>
      <c r="D114" t="str">
        <f>tbl_data[[#This Row],[Industry]]</f>
        <v>Trading</v>
      </c>
      <c r="E114">
        <f>tbl_data[[#This Row],[Tx_Count_30D]]</f>
        <v>42</v>
      </c>
      <c r="F114">
        <f>tbl_data[[#This Row],[Total_Amount_30D]]</f>
        <v>29933</v>
      </c>
      <c r="G114">
        <f>tbl_data[[#This Row],[Avg_Tx_Count_6M]]</f>
        <v>15</v>
      </c>
      <c r="H114">
        <f>tbl_data[[#This Row],[Avg_Total_Amount_6M]]</f>
        <v>62259</v>
      </c>
      <c r="I114">
        <f>IFERROR(tbl_Data2[[#This Row],[Tx_Count_30D]]/tbl_Data2[[#This Row],[Avg_Tx_Count_6M]],0)</f>
        <v>2.8</v>
      </c>
      <c r="J114">
        <f>IFERROR(tbl_Data2[[#This Row],[Total_Amount_30D]]/tbl_Data2[[#This Row],[Avg_Total_Amount_6M]],0)</f>
        <v>0.48078189498707014</v>
      </c>
      <c r="K114">
        <f>_xlfn.XLOOKUP(tbl_Data2[[#This Row],[Country]], Geo_Map[Country], Geo_Map[Score], 5)</f>
        <v>8</v>
      </c>
      <c r="L114" cm="1">
        <f t="array" ref="L114">_xlfn.IFS(tbl_Data2[[#This Row],[Tx_Count_30D]]&lt;=5,2,tbl_Data2[[#This Row],[Tx_Count_30D]]&lt;=15,5,tbl_Data2[[#This Row],[Tx_Count_30D]]&lt;=30,7,tbl_Data2[[#This Row],[Tx_Count_30D]]&gt;30,9)</f>
        <v>9</v>
      </c>
      <c r="M114" cm="1">
        <f t="array" ref="M114">_xlfn.IFS(
tbl_Data2[[#This Row],[Total_Amount_30D]]&lt;10000,2,
tbl_Data2[[#This Row],[Total_Amount_30D]]&lt;25000,5,
tbl_Data2[[#This Row],[Total_Amount_30D]]&lt;50000,7,
tbl_Data2[[#This Row],[Total_Amount_30D]]&gt;=50000,9
)</f>
        <v>7</v>
      </c>
      <c r="N114" cm="1">
        <f t="array" ref="N114">_xlfn.IFS(
tbl_Data2[[#This Row],[Amount_Deviation]]&lt;1.5,2,
tbl_Data2[[#This Row],[Amount_Deviation]]&lt;3,6,
tbl_Data2[[#This Row],[Amount_Deviation]]&lt;6,8,
tbl_Data2[[#This Row],[Amount_Deviation]]&gt;=6,10
)</f>
        <v>2</v>
      </c>
      <c r="O114">
        <f>ROUND(
    (tbl_Data2[[#This Row],[Geo_Score]]*0.2) +
    (tbl_Data2[[#This Row],[Velocity_Score]]*0.25) +
    (tbl_Data2[[#This Row],[Volume_Score]]*0.25) +
    (tbl_Data2[[#This Row],[Deviation_Score]]*0.3),
1
)</f>
        <v>6.2</v>
      </c>
      <c r="P114" t="str" cm="1">
        <f t="array" ref="P114">_xlfn.IFS(
tbl_Data2[[#This Row],[Final_Risk_Score]]&lt;5.5,"Low",
tbl_Data2[[#This Row],[Final_Risk_Score]]&lt;7.5,"Medium",
tbl_Data2[[#This Row],[Final_Risk_Score]]&gt;=7.5,"High"
)</f>
        <v>Medium</v>
      </c>
      <c r="Q114" t="str" cm="1">
        <f t="array" ref="Q114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15" spans="1:17">
      <c r="A115" t="str">
        <f>tbl_data[[#This Row],[Customer_ID]]</f>
        <v>CUST-114</v>
      </c>
      <c r="B115" t="str">
        <f>tbl_data[[#This Row],[Customer_Type]]</f>
        <v>Business</v>
      </c>
      <c r="C115" t="str">
        <f>tbl_data[[#This Row],[Country]]</f>
        <v>Cyprus</v>
      </c>
      <c r="D115" t="str">
        <f>tbl_data[[#This Row],[Industry]]</f>
        <v>Trading</v>
      </c>
      <c r="E115">
        <f>tbl_data[[#This Row],[Tx_Count_30D]]</f>
        <v>4</v>
      </c>
      <c r="F115">
        <f>tbl_data[[#This Row],[Total_Amount_30D]]</f>
        <v>42580</v>
      </c>
      <c r="G115">
        <f>tbl_data[[#This Row],[Avg_Tx_Count_6M]]</f>
        <v>17</v>
      </c>
      <c r="H115">
        <f>tbl_data[[#This Row],[Avg_Total_Amount_6M]]</f>
        <v>14141</v>
      </c>
      <c r="I115">
        <f>IFERROR(tbl_Data2[[#This Row],[Tx_Count_30D]]/tbl_Data2[[#This Row],[Avg_Tx_Count_6M]],0)</f>
        <v>0.23529411764705882</v>
      </c>
      <c r="J115">
        <f>IFERROR(tbl_Data2[[#This Row],[Total_Amount_30D]]/tbl_Data2[[#This Row],[Avg_Total_Amount_6M]],0)</f>
        <v>3.0111024680008485</v>
      </c>
      <c r="K115">
        <f>_xlfn.XLOOKUP(tbl_Data2[[#This Row],[Country]], Geo_Map[Country], Geo_Map[Score], 5)</f>
        <v>7</v>
      </c>
      <c r="L115" cm="1">
        <f t="array" ref="L115">_xlfn.IFS(tbl_Data2[[#This Row],[Tx_Count_30D]]&lt;=5,2,tbl_Data2[[#This Row],[Tx_Count_30D]]&lt;=15,5,tbl_Data2[[#This Row],[Tx_Count_30D]]&lt;=30,7,tbl_Data2[[#This Row],[Tx_Count_30D]]&gt;30,9)</f>
        <v>2</v>
      </c>
      <c r="M115" cm="1">
        <f t="array" ref="M115">_xlfn.IFS(
tbl_Data2[[#This Row],[Total_Amount_30D]]&lt;10000,2,
tbl_Data2[[#This Row],[Total_Amount_30D]]&lt;25000,5,
tbl_Data2[[#This Row],[Total_Amount_30D]]&lt;50000,7,
tbl_Data2[[#This Row],[Total_Amount_30D]]&gt;=50000,9
)</f>
        <v>7</v>
      </c>
      <c r="N115" cm="1">
        <f t="array" ref="N115">_xlfn.IFS(
tbl_Data2[[#This Row],[Amount_Deviation]]&lt;1.5,2,
tbl_Data2[[#This Row],[Amount_Deviation]]&lt;3,6,
tbl_Data2[[#This Row],[Amount_Deviation]]&lt;6,8,
tbl_Data2[[#This Row],[Amount_Deviation]]&gt;=6,10
)</f>
        <v>8</v>
      </c>
      <c r="O115">
        <f>ROUND(
    (tbl_Data2[[#This Row],[Geo_Score]]*0.2) +
    (tbl_Data2[[#This Row],[Velocity_Score]]*0.25) +
    (tbl_Data2[[#This Row],[Volume_Score]]*0.25) +
    (tbl_Data2[[#This Row],[Deviation_Score]]*0.3),
1
)</f>
        <v>6.1</v>
      </c>
      <c r="P115" t="str" cm="1">
        <f t="array" ref="P115">_xlfn.IFS(
tbl_Data2[[#This Row],[Final_Risk_Score]]&lt;5.5,"Low",
tbl_Data2[[#This Row],[Final_Risk_Score]]&lt;7.5,"Medium",
tbl_Data2[[#This Row],[Final_Risk_Score]]&gt;=7.5,"High"
)</f>
        <v>Medium</v>
      </c>
      <c r="Q115" t="str" cm="1">
        <f t="array" ref="Q115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16" spans="1:17" hidden="1">
      <c r="A116" t="str">
        <f>tbl_data[[#This Row],[Customer_ID]]</f>
        <v>CUST-115</v>
      </c>
      <c r="B116" t="str">
        <f>tbl_data[[#This Row],[Customer_Type]]</f>
        <v>Business</v>
      </c>
      <c r="C116" t="str">
        <f>tbl_data[[#This Row],[Country]]</f>
        <v>Panama</v>
      </c>
      <c r="D116" t="str">
        <f>tbl_data[[#This Row],[Industry]]</f>
        <v>Manufacturing</v>
      </c>
      <c r="E116">
        <f>tbl_data[[#This Row],[Tx_Count_30D]]</f>
        <v>21</v>
      </c>
      <c r="F116">
        <f>tbl_data[[#This Row],[Total_Amount_30D]]</f>
        <v>112101</v>
      </c>
      <c r="G116">
        <f>tbl_data[[#This Row],[Avg_Tx_Count_6M]]</f>
        <v>8</v>
      </c>
      <c r="H116">
        <f>tbl_data[[#This Row],[Avg_Total_Amount_6M]]</f>
        <v>25140</v>
      </c>
      <c r="I116">
        <f>IFERROR(tbl_Data2[[#This Row],[Tx_Count_30D]]/tbl_Data2[[#This Row],[Avg_Tx_Count_6M]],0)</f>
        <v>2.625</v>
      </c>
      <c r="J116">
        <f>IFERROR(tbl_Data2[[#This Row],[Total_Amount_30D]]/tbl_Data2[[#This Row],[Avg_Total_Amount_6M]],0)</f>
        <v>4.4590692124105011</v>
      </c>
      <c r="K116">
        <f>_xlfn.XLOOKUP(tbl_Data2[[#This Row],[Country]], Geo_Map[Country], Geo_Map[Score], 5)</f>
        <v>8</v>
      </c>
      <c r="L116" cm="1">
        <f t="array" ref="L116">_xlfn.IFS(tbl_Data2[[#This Row],[Tx_Count_30D]]&lt;=5,2,tbl_Data2[[#This Row],[Tx_Count_30D]]&lt;=15,5,tbl_Data2[[#This Row],[Tx_Count_30D]]&lt;=30,7,tbl_Data2[[#This Row],[Tx_Count_30D]]&gt;30,9)</f>
        <v>7</v>
      </c>
      <c r="M116" cm="1">
        <f t="array" ref="M116">_xlfn.IFS(
tbl_Data2[[#This Row],[Total_Amount_30D]]&lt;10000,2,
tbl_Data2[[#This Row],[Total_Amount_30D]]&lt;25000,5,
tbl_Data2[[#This Row],[Total_Amount_30D]]&lt;50000,7,
tbl_Data2[[#This Row],[Total_Amount_30D]]&gt;=50000,9
)</f>
        <v>9</v>
      </c>
      <c r="N116" cm="1">
        <f t="array" ref="N116">_xlfn.IFS(
tbl_Data2[[#This Row],[Amount_Deviation]]&lt;1.5,2,
tbl_Data2[[#This Row],[Amount_Deviation]]&lt;3,6,
tbl_Data2[[#This Row],[Amount_Deviation]]&lt;6,8,
tbl_Data2[[#This Row],[Amount_Deviation]]&gt;=6,10
)</f>
        <v>8</v>
      </c>
      <c r="O116">
        <f>ROUND(
    (tbl_Data2[[#This Row],[Geo_Score]]*0.2) +
    (tbl_Data2[[#This Row],[Velocity_Score]]*0.25) +
    (tbl_Data2[[#This Row],[Volume_Score]]*0.25) +
    (tbl_Data2[[#This Row],[Deviation_Score]]*0.3),
1
)</f>
        <v>8</v>
      </c>
      <c r="P116" t="str" cm="1">
        <f t="array" ref="P116">_xlfn.IFS(
tbl_Data2[[#This Row],[Final_Risk_Score]]&lt;5.5,"Low",
tbl_Data2[[#This Row],[Final_Risk_Score]]&lt;7.5,"Medium",
tbl_Data2[[#This Row],[Final_Risk_Score]]&gt;=7.5,"High"
)</f>
        <v>High</v>
      </c>
      <c r="Q116" t="str" cm="1">
        <f t="array" ref="Q116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117" spans="1:17" hidden="1">
      <c r="A117" t="str">
        <f>tbl_data[[#This Row],[Customer_ID]]</f>
        <v>CUST-116</v>
      </c>
      <c r="B117" t="str">
        <f>tbl_data[[#This Row],[Customer_Type]]</f>
        <v>Business</v>
      </c>
      <c r="C117" t="str">
        <f>tbl_data[[#This Row],[Country]]</f>
        <v>UAE</v>
      </c>
      <c r="D117" t="str">
        <f>tbl_data[[#This Row],[Industry]]</f>
        <v>IT Services</v>
      </c>
      <c r="E117">
        <f>tbl_data[[#This Row],[Tx_Count_30D]]</f>
        <v>31</v>
      </c>
      <c r="F117">
        <f>tbl_data[[#This Row],[Total_Amount_30D]]</f>
        <v>51744</v>
      </c>
      <c r="G117">
        <f>tbl_data[[#This Row],[Avg_Tx_Count_6M]]</f>
        <v>22</v>
      </c>
      <c r="H117">
        <f>tbl_data[[#This Row],[Avg_Total_Amount_6M]]</f>
        <v>3207</v>
      </c>
      <c r="I117">
        <f>IFERROR(tbl_Data2[[#This Row],[Tx_Count_30D]]/tbl_Data2[[#This Row],[Avg_Tx_Count_6M]],0)</f>
        <v>1.4090909090909092</v>
      </c>
      <c r="J117">
        <f>IFERROR(tbl_Data2[[#This Row],[Total_Amount_30D]]/tbl_Data2[[#This Row],[Avg_Total_Amount_6M]],0)</f>
        <v>16.13470533208606</v>
      </c>
      <c r="K117">
        <f>_xlfn.XLOOKUP(tbl_Data2[[#This Row],[Country]], Geo_Map[Country], Geo_Map[Score], 5)</f>
        <v>6</v>
      </c>
      <c r="L117" cm="1">
        <f t="array" ref="L117">_xlfn.IFS(tbl_Data2[[#This Row],[Tx_Count_30D]]&lt;=5,2,tbl_Data2[[#This Row],[Tx_Count_30D]]&lt;=15,5,tbl_Data2[[#This Row],[Tx_Count_30D]]&lt;=30,7,tbl_Data2[[#This Row],[Tx_Count_30D]]&gt;30,9)</f>
        <v>9</v>
      </c>
      <c r="M117" cm="1">
        <f t="array" ref="M117">_xlfn.IFS(
tbl_Data2[[#This Row],[Total_Amount_30D]]&lt;10000,2,
tbl_Data2[[#This Row],[Total_Amount_30D]]&lt;25000,5,
tbl_Data2[[#This Row],[Total_Amount_30D]]&lt;50000,7,
tbl_Data2[[#This Row],[Total_Amount_30D]]&gt;=50000,9
)</f>
        <v>9</v>
      </c>
      <c r="N117" cm="1">
        <f t="array" ref="N117">_xlfn.IFS(
tbl_Data2[[#This Row],[Amount_Deviation]]&lt;1.5,2,
tbl_Data2[[#This Row],[Amount_Deviation]]&lt;3,6,
tbl_Data2[[#This Row],[Amount_Deviation]]&lt;6,8,
tbl_Data2[[#This Row],[Amount_Deviation]]&gt;=6,10
)</f>
        <v>10</v>
      </c>
      <c r="O117">
        <f>ROUND(
    (tbl_Data2[[#This Row],[Geo_Score]]*0.2) +
    (tbl_Data2[[#This Row],[Velocity_Score]]*0.25) +
    (tbl_Data2[[#This Row],[Volume_Score]]*0.25) +
    (tbl_Data2[[#This Row],[Deviation_Score]]*0.3),
1
)</f>
        <v>8.6999999999999993</v>
      </c>
      <c r="P117" t="str" cm="1">
        <f t="array" ref="P117">_xlfn.IFS(
tbl_Data2[[#This Row],[Final_Risk_Score]]&lt;5.5,"Low",
tbl_Data2[[#This Row],[Final_Risk_Score]]&lt;7.5,"Medium",
tbl_Data2[[#This Row],[Final_Risk_Score]]&gt;=7.5,"High"
)</f>
        <v>High</v>
      </c>
      <c r="Q117" t="str" cm="1">
        <f t="array" ref="Q117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118" spans="1:17" hidden="1">
      <c r="A118" t="str">
        <f>tbl_data[[#This Row],[Customer_ID]]</f>
        <v>CUST-117</v>
      </c>
      <c r="B118" t="str">
        <f>tbl_data[[#This Row],[Customer_Type]]</f>
        <v>Business</v>
      </c>
      <c r="C118" t="str">
        <f>tbl_data[[#This Row],[Country]]</f>
        <v>Seychelles</v>
      </c>
      <c r="D118" t="str">
        <f>tbl_data[[#This Row],[Industry]]</f>
        <v>Import/Export</v>
      </c>
      <c r="E118">
        <f>tbl_data[[#This Row],[Tx_Count_30D]]</f>
        <v>14</v>
      </c>
      <c r="F118">
        <f>tbl_data[[#This Row],[Total_Amount_30D]]</f>
        <v>110339</v>
      </c>
      <c r="G118">
        <f>tbl_data[[#This Row],[Avg_Tx_Count_6M]]</f>
        <v>9</v>
      </c>
      <c r="H118">
        <f>tbl_data[[#This Row],[Avg_Total_Amount_6M]]</f>
        <v>22346</v>
      </c>
      <c r="I118">
        <f>IFERROR(tbl_Data2[[#This Row],[Tx_Count_30D]]/tbl_Data2[[#This Row],[Avg_Tx_Count_6M]],0)</f>
        <v>1.5555555555555556</v>
      </c>
      <c r="J118">
        <f>IFERROR(tbl_Data2[[#This Row],[Total_Amount_30D]]/tbl_Data2[[#This Row],[Avg_Total_Amount_6M]],0)</f>
        <v>4.9377517229034282</v>
      </c>
      <c r="K118">
        <f>_xlfn.XLOOKUP(tbl_Data2[[#This Row],[Country]], Geo_Map[Country], Geo_Map[Score], 5)</f>
        <v>9</v>
      </c>
      <c r="L118" cm="1">
        <f t="array" ref="L118">_xlfn.IFS(tbl_Data2[[#This Row],[Tx_Count_30D]]&lt;=5,2,tbl_Data2[[#This Row],[Tx_Count_30D]]&lt;=15,5,tbl_Data2[[#This Row],[Tx_Count_30D]]&lt;=30,7,tbl_Data2[[#This Row],[Tx_Count_30D]]&gt;30,9)</f>
        <v>5</v>
      </c>
      <c r="M118" cm="1">
        <f t="array" ref="M118">_xlfn.IFS(
tbl_Data2[[#This Row],[Total_Amount_30D]]&lt;10000,2,
tbl_Data2[[#This Row],[Total_Amount_30D]]&lt;25000,5,
tbl_Data2[[#This Row],[Total_Amount_30D]]&lt;50000,7,
tbl_Data2[[#This Row],[Total_Amount_30D]]&gt;=50000,9
)</f>
        <v>9</v>
      </c>
      <c r="N118" cm="1">
        <f t="array" ref="N118">_xlfn.IFS(
tbl_Data2[[#This Row],[Amount_Deviation]]&lt;1.5,2,
tbl_Data2[[#This Row],[Amount_Deviation]]&lt;3,6,
tbl_Data2[[#This Row],[Amount_Deviation]]&lt;6,8,
tbl_Data2[[#This Row],[Amount_Deviation]]&gt;=6,10
)</f>
        <v>8</v>
      </c>
      <c r="O118">
        <f>ROUND(
    (tbl_Data2[[#This Row],[Geo_Score]]*0.2) +
    (tbl_Data2[[#This Row],[Velocity_Score]]*0.25) +
    (tbl_Data2[[#This Row],[Volume_Score]]*0.25) +
    (tbl_Data2[[#This Row],[Deviation_Score]]*0.3),
1
)</f>
        <v>7.7</v>
      </c>
      <c r="P118" t="str" cm="1">
        <f t="array" ref="P118">_xlfn.IFS(
tbl_Data2[[#This Row],[Final_Risk_Score]]&lt;5.5,"Low",
tbl_Data2[[#This Row],[Final_Risk_Score]]&lt;7.5,"Medium",
tbl_Data2[[#This Row],[Final_Risk_Score]]&gt;=7.5,"High"
)</f>
        <v>High</v>
      </c>
      <c r="Q118" t="str" cm="1">
        <f t="array" ref="Q118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119" spans="1:17">
      <c r="A119" t="str">
        <f>tbl_data[[#This Row],[Customer_ID]]</f>
        <v>CUST-118</v>
      </c>
      <c r="B119" t="str">
        <f>tbl_data[[#This Row],[Customer_Type]]</f>
        <v>Individual</v>
      </c>
      <c r="C119" t="str">
        <f>tbl_data[[#This Row],[Country]]</f>
        <v>Panama</v>
      </c>
      <c r="D119" t="str">
        <f>tbl_data[[#This Row],[Industry]]</f>
        <v>Import/Export</v>
      </c>
      <c r="E119">
        <f>tbl_data[[#This Row],[Tx_Count_30D]]</f>
        <v>20</v>
      </c>
      <c r="F119">
        <f>tbl_data[[#This Row],[Total_Amount_30D]]</f>
        <v>45492</v>
      </c>
      <c r="G119">
        <f>tbl_data[[#This Row],[Avg_Tx_Count_6M]]</f>
        <v>7</v>
      </c>
      <c r="H119">
        <f>tbl_data[[#This Row],[Avg_Total_Amount_6M]]</f>
        <v>33141</v>
      </c>
      <c r="I119">
        <f>IFERROR(tbl_Data2[[#This Row],[Tx_Count_30D]]/tbl_Data2[[#This Row],[Avg_Tx_Count_6M]],0)</f>
        <v>2.8571428571428572</v>
      </c>
      <c r="J119">
        <f>IFERROR(tbl_Data2[[#This Row],[Total_Amount_30D]]/tbl_Data2[[#This Row],[Avg_Total_Amount_6M]],0)</f>
        <v>1.3726803657101476</v>
      </c>
      <c r="K119">
        <f>_xlfn.XLOOKUP(tbl_Data2[[#This Row],[Country]], Geo_Map[Country], Geo_Map[Score], 5)</f>
        <v>8</v>
      </c>
      <c r="L119" cm="1">
        <f t="array" ref="L119">_xlfn.IFS(tbl_Data2[[#This Row],[Tx_Count_30D]]&lt;=5,2,tbl_Data2[[#This Row],[Tx_Count_30D]]&lt;=15,5,tbl_Data2[[#This Row],[Tx_Count_30D]]&lt;=30,7,tbl_Data2[[#This Row],[Tx_Count_30D]]&gt;30,9)</f>
        <v>7</v>
      </c>
      <c r="M119" cm="1">
        <f t="array" ref="M119">_xlfn.IFS(
tbl_Data2[[#This Row],[Total_Amount_30D]]&lt;10000,2,
tbl_Data2[[#This Row],[Total_Amount_30D]]&lt;25000,5,
tbl_Data2[[#This Row],[Total_Amount_30D]]&lt;50000,7,
tbl_Data2[[#This Row],[Total_Amount_30D]]&gt;=50000,9
)</f>
        <v>7</v>
      </c>
      <c r="N119" cm="1">
        <f t="array" ref="N119">_xlfn.IFS(
tbl_Data2[[#This Row],[Amount_Deviation]]&lt;1.5,2,
tbl_Data2[[#This Row],[Amount_Deviation]]&lt;3,6,
tbl_Data2[[#This Row],[Amount_Deviation]]&lt;6,8,
tbl_Data2[[#This Row],[Amount_Deviation]]&gt;=6,10
)</f>
        <v>2</v>
      </c>
      <c r="O119">
        <f>ROUND(
    (tbl_Data2[[#This Row],[Geo_Score]]*0.2) +
    (tbl_Data2[[#This Row],[Velocity_Score]]*0.25) +
    (tbl_Data2[[#This Row],[Volume_Score]]*0.25) +
    (tbl_Data2[[#This Row],[Deviation_Score]]*0.3),
1
)</f>
        <v>5.7</v>
      </c>
      <c r="P119" t="str" cm="1">
        <f t="array" ref="P119">_xlfn.IFS(
tbl_Data2[[#This Row],[Final_Risk_Score]]&lt;5.5,"Low",
tbl_Data2[[#This Row],[Final_Risk_Score]]&lt;7.5,"Medium",
tbl_Data2[[#This Row],[Final_Risk_Score]]&gt;=7.5,"High"
)</f>
        <v>Medium</v>
      </c>
      <c r="Q119" t="str" cm="1">
        <f t="array" ref="Q119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20" spans="1:17">
      <c r="A120" t="str">
        <f>tbl_data[[#This Row],[Customer_ID]]</f>
        <v>CUST-119</v>
      </c>
      <c r="B120" t="str">
        <f>tbl_data[[#This Row],[Customer_Type]]</f>
        <v>Individual</v>
      </c>
      <c r="C120" t="str">
        <f>tbl_data[[#This Row],[Country]]</f>
        <v>Hong Kong</v>
      </c>
      <c r="D120" t="str">
        <f>tbl_data[[#This Row],[Industry]]</f>
        <v>Import/Export</v>
      </c>
      <c r="E120">
        <f>tbl_data[[#This Row],[Tx_Count_30D]]</f>
        <v>25</v>
      </c>
      <c r="F120">
        <f>tbl_data[[#This Row],[Total_Amount_30D]]</f>
        <v>88835</v>
      </c>
      <c r="G120">
        <f>tbl_data[[#This Row],[Avg_Tx_Count_6M]]</f>
        <v>11</v>
      </c>
      <c r="H120">
        <f>tbl_data[[#This Row],[Avg_Total_Amount_6M]]</f>
        <v>67305</v>
      </c>
      <c r="I120">
        <f>IFERROR(tbl_Data2[[#This Row],[Tx_Count_30D]]/tbl_Data2[[#This Row],[Avg_Tx_Count_6M]],0)</f>
        <v>2.2727272727272729</v>
      </c>
      <c r="J120">
        <f>IFERROR(tbl_Data2[[#This Row],[Total_Amount_30D]]/tbl_Data2[[#This Row],[Avg_Total_Amount_6M]],0)</f>
        <v>1.3198870811975336</v>
      </c>
      <c r="K120">
        <f>_xlfn.XLOOKUP(tbl_Data2[[#This Row],[Country]], Geo_Map[Country], Geo_Map[Score], 5)</f>
        <v>6</v>
      </c>
      <c r="L120" cm="1">
        <f t="array" ref="L120">_xlfn.IFS(tbl_Data2[[#This Row],[Tx_Count_30D]]&lt;=5,2,tbl_Data2[[#This Row],[Tx_Count_30D]]&lt;=15,5,tbl_Data2[[#This Row],[Tx_Count_30D]]&lt;=30,7,tbl_Data2[[#This Row],[Tx_Count_30D]]&gt;30,9)</f>
        <v>7</v>
      </c>
      <c r="M120" cm="1">
        <f t="array" ref="M120">_xlfn.IFS(
tbl_Data2[[#This Row],[Total_Amount_30D]]&lt;10000,2,
tbl_Data2[[#This Row],[Total_Amount_30D]]&lt;25000,5,
tbl_Data2[[#This Row],[Total_Amount_30D]]&lt;50000,7,
tbl_Data2[[#This Row],[Total_Amount_30D]]&gt;=50000,9
)</f>
        <v>9</v>
      </c>
      <c r="N120" cm="1">
        <f t="array" ref="N120">_xlfn.IFS(
tbl_Data2[[#This Row],[Amount_Deviation]]&lt;1.5,2,
tbl_Data2[[#This Row],[Amount_Deviation]]&lt;3,6,
tbl_Data2[[#This Row],[Amount_Deviation]]&lt;6,8,
tbl_Data2[[#This Row],[Amount_Deviation]]&gt;=6,10
)</f>
        <v>2</v>
      </c>
      <c r="O120">
        <f>ROUND(
    (tbl_Data2[[#This Row],[Geo_Score]]*0.2) +
    (tbl_Data2[[#This Row],[Velocity_Score]]*0.25) +
    (tbl_Data2[[#This Row],[Volume_Score]]*0.25) +
    (tbl_Data2[[#This Row],[Deviation_Score]]*0.3),
1
)</f>
        <v>5.8</v>
      </c>
      <c r="P120" t="str" cm="1">
        <f t="array" ref="P120">_xlfn.IFS(
tbl_Data2[[#This Row],[Final_Risk_Score]]&lt;5.5,"Low",
tbl_Data2[[#This Row],[Final_Risk_Score]]&lt;7.5,"Medium",
tbl_Data2[[#This Row],[Final_Risk_Score]]&gt;=7.5,"High"
)</f>
        <v>Medium</v>
      </c>
      <c r="Q120" t="str" cm="1">
        <f t="array" ref="Q120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21" spans="1:17">
      <c r="A121" t="str">
        <f>tbl_data[[#This Row],[Customer_ID]]</f>
        <v>CUST-120</v>
      </c>
      <c r="B121" t="str">
        <f>tbl_data[[#This Row],[Customer_Type]]</f>
        <v>Business</v>
      </c>
      <c r="C121" t="str">
        <f>tbl_data[[#This Row],[Country]]</f>
        <v>Seychelles</v>
      </c>
      <c r="D121" t="str">
        <f>tbl_data[[#This Row],[Industry]]</f>
        <v>Manufacturing</v>
      </c>
      <c r="E121">
        <f>tbl_data[[#This Row],[Tx_Count_30D]]</f>
        <v>2</v>
      </c>
      <c r="F121">
        <f>tbl_data[[#This Row],[Total_Amount_30D]]</f>
        <v>77654</v>
      </c>
      <c r="G121">
        <f>tbl_data[[#This Row],[Avg_Tx_Count_6M]]</f>
        <v>31</v>
      </c>
      <c r="H121">
        <f>tbl_data[[#This Row],[Avg_Total_Amount_6M]]</f>
        <v>39589</v>
      </c>
      <c r="I121">
        <f>IFERROR(tbl_Data2[[#This Row],[Tx_Count_30D]]/tbl_Data2[[#This Row],[Avg_Tx_Count_6M]],0)</f>
        <v>6.4516129032258063E-2</v>
      </c>
      <c r="J121">
        <f>IFERROR(tbl_Data2[[#This Row],[Total_Amount_30D]]/tbl_Data2[[#This Row],[Avg_Total_Amount_6M]],0)</f>
        <v>1.9615044583091263</v>
      </c>
      <c r="K121">
        <f>_xlfn.XLOOKUP(tbl_Data2[[#This Row],[Country]], Geo_Map[Country], Geo_Map[Score], 5)</f>
        <v>9</v>
      </c>
      <c r="L121" cm="1">
        <f t="array" ref="L121">_xlfn.IFS(tbl_Data2[[#This Row],[Tx_Count_30D]]&lt;=5,2,tbl_Data2[[#This Row],[Tx_Count_30D]]&lt;=15,5,tbl_Data2[[#This Row],[Tx_Count_30D]]&lt;=30,7,tbl_Data2[[#This Row],[Tx_Count_30D]]&gt;30,9)</f>
        <v>2</v>
      </c>
      <c r="M121" cm="1">
        <f t="array" ref="M121">_xlfn.IFS(
tbl_Data2[[#This Row],[Total_Amount_30D]]&lt;10000,2,
tbl_Data2[[#This Row],[Total_Amount_30D]]&lt;25000,5,
tbl_Data2[[#This Row],[Total_Amount_30D]]&lt;50000,7,
tbl_Data2[[#This Row],[Total_Amount_30D]]&gt;=50000,9
)</f>
        <v>9</v>
      </c>
      <c r="N121" cm="1">
        <f t="array" ref="N121">_xlfn.IFS(
tbl_Data2[[#This Row],[Amount_Deviation]]&lt;1.5,2,
tbl_Data2[[#This Row],[Amount_Deviation]]&lt;3,6,
tbl_Data2[[#This Row],[Amount_Deviation]]&lt;6,8,
tbl_Data2[[#This Row],[Amount_Deviation]]&gt;=6,10
)</f>
        <v>6</v>
      </c>
      <c r="O121">
        <f>ROUND(
    (tbl_Data2[[#This Row],[Geo_Score]]*0.2) +
    (tbl_Data2[[#This Row],[Velocity_Score]]*0.25) +
    (tbl_Data2[[#This Row],[Volume_Score]]*0.25) +
    (tbl_Data2[[#This Row],[Deviation_Score]]*0.3),
1
)</f>
        <v>6.4</v>
      </c>
      <c r="P121" t="str" cm="1">
        <f t="array" ref="P121">_xlfn.IFS(
tbl_Data2[[#This Row],[Final_Risk_Score]]&lt;5.5,"Low",
tbl_Data2[[#This Row],[Final_Risk_Score]]&lt;7.5,"Medium",
tbl_Data2[[#This Row],[Final_Risk_Score]]&gt;=7.5,"High"
)</f>
        <v>Medium</v>
      </c>
      <c r="Q121" t="str" cm="1">
        <f t="array" ref="Q121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22" spans="1:17">
      <c r="A122" t="str">
        <f>tbl_data[[#This Row],[Customer_ID]]</f>
        <v>CUST-121</v>
      </c>
      <c r="B122" t="str">
        <f>tbl_data[[#This Row],[Customer_Type]]</f>
        <v>Business</v>
      </c>
      <c r="C122" t="str">
        <f>tbl_data[[#This Row],[Country]]</f>
        <v>UAE</v>
      </c>
      <c r="D122" t="str">
        <f>tbl_data[[#This Row],[Industry]]</f>
        <v>Trading</v>
      </c>
      <c r="E122">
        <f>tbl_data[[#This Row],[Tx_Count_30D]]</f>
        <v>59</v>
      </c>
      <c r="F122">
        <f>tbl_data[[#This Row],[Total_Amount_30D]]</f>
        <v>32225</v>
      </c>
      <c r="G122">
        <f>tbl_data[[#This Row],[Avg_Tx_Count_6M]]</f>
        <v>34</v>
      </c>
      <c r="H122">
        <f>tbl_data[[#This Row],[Avg_Total_Amount_6M]]</f>
        <v>40496</v>
      </c>
      <c r="I122">
        <f>IFERROR(tbl_Data2[[#This Row],[Tx_Count_30D]]/tbl_Data2[[#This Row],[Avg_Tx_Count_6M]],0)</f>
        <v>1.7352941176470589</v>
      </c>
      <c r="J122">
        <f>IFERROR(tbl_Data2[[#This Row],[Total_Amount_30D]]/tbl_Data2[[#This Row],[Avg_Total_Amount_6M]],0)</f>
        <v>0.79575760568945086</v>
      </c>
      <c r="K122">
        <f>_xlfn.XLOOKUP(tbl_Data2[[#This Row],[Country]], Geo_Map[Country], Geo_Map[Score], 5)</f>
        <v>6</v>
      </c>
      <c r="L122" cm="1">
        <f t="array" ref="L122">_xlfn.IFS(tbl_Data2[[#This Row],[Tx_Count_30D]]&lt;=5,2,tbl_Data2[[#This Row],[Tx_Count_30D]]&lt;=15,5,tbl_Data2[[#This Row],[Tx_Count_30D]]&lt;=30,7,tbl_Data2[[#This Row],[Tx_Count_30D]]&gt;30,9)</f>
        <v>9</v>
      </c>
      <c r="M122" cm="1">
        <f t="array" ref="M122">_xlfn.IFS(
tbl_Data2[[#This Row],[Total_Amount_30D]]&lt;10000,2,
tbl_Data2[[#This Row],[Total_Amount_30D]]&lt;25000,5,
tbl_Data2[[#This Row],[Total_Amount_30D]]&lt;50000,7,
tbl_Data2[[#This Row],[Total_Amount_30D]]&gt;=50000,9
)</f>
        <v>7</v>
      </c>
      <c r="N122" cm="1">
        <f t="array" ref="N122">_xlfn.IFS(
tbl_Data2[[#This Row],[Amount_Deviation]]&lt;1.5,2,
tbl_Data2[[#This Row],[Amount_Deviation]]&lt;3,6,
tbl_Data2[[#This Row],[Amount_Deviation]]&lt;6,8,
tbl_Data2[[#This Row],[Amount_Deviation]]&gt;=6,10
)</f>
        <v>2</v>
      </c>
      <c r="O122">
        <f>ROUND(
    (tbl_Data2[[#This Row],[Geo_Score]]*0.2) +
    (tbl_Data2[[#This Row],[Velocity_Score]]*0.25) +
    (tbl_Data2[[#This Row],[Volume_Score]]*0.25) +
    (tbl_Data2[[#This Row],[Deviation_Score]]*0.3),
1
)</f>
        <v>5.8</v>
      </c>
      <c r="P122" t="str" cm="1">
        <f t="array" ref="P122">_xlfn.IFS(
tbl_Data2[[#This Row],[Final_Risk_Score]]&lt;5.5,"Low",
tbl_Data2[[#This Row],[Final_Risk_Score]]&lt;7.5,"Medium",
tbl_Data2[[#This Row],[Final_Risk_Score]]&gt;=7.5,"High"
)</f>
        <v>Medium</v>
      </c>
      <c r="Q122" t="str" cm="1">
        <f t="array" ref="Q122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23" spans="1:17">
      <c r="A123" t="str">
        <f>tbl_data[[#This Row],[Customer_ID]]</f>
        <v>CUST-122</v>
      </c>
      <c r="B123" t="str">
        <f>tbl_data[[#This Row],[Customer_Type]]</f>
        <v>Business</v>
      </c>
      <c r="C123" t="str">
        <f>tbl_data[[#This Row],[Country]]</f>
        <v>Cyprus</v>
      </c>
      <c r="D123" t="str">
        <f>tbl_data[[#This Row],[Industry]]</f>
        <v>Logistics</v>
      </c>
      <c r="E123">
        <f>tbl_data[[#This Row],[Tx_Count_30D]]</f>
        <v>43</v>
      </c>
      <c r="F123">
        <f>tbl_data[[#This Row],[Total_Amount_30D]]</f>
        <v>36426</v>
      </c>
      <c r="G123">
        <f>tbl_data[[#This Row],[Avg_Tx_Count_6M]]</f>
        <v>10</v>
      </c>
      <c r="H123">
        <f>tbl_data[[#This Row],[Avg_Total_Amount_6M]]</f>
        <v>33137</v>
      </c>
      <c r="I123">
        <f>IFERROR(tbl_Data2[[#This Row],[Tx_Count_30D]]/tbl_Data2[[#This Row],[Avg_Tx_Count_6M]],0)</f>
        <v>4.3</v>
      </c>
      <c r="J123">
        <f>IFERROR(tbl_Data2[[#This Row],[Total_Amount_30D]]/tbl_Data2[[#This Row],[Avg_Total_Amount_6M]],0)</f>
        <v>1.0992546096508435</v>
      </c>
      <c r="K123">
        <f>_xlfn.XLOOKUP(tbl_Data2[[#This Row],[Country]], Geo_Map[Country], Geo_Map[Score], 5)</f>
        <v>7</v>
      </c>
      <c r="L123" cm="1">
        <f t="array" ref="L123">_xlfn.IFS(tbl_Data2[[#This Row],[Tx_Count_30D]]&lt;=5,2,tbl_Data2[[#This Row],[Tx_Count_30D]]&lt;=15,5,tbl_Data2[[#This Row],[Tx_Count_30D]]&lt;=30,7,tbl_Data2[[#This Row],[Tx_Count_30D]]&gt;30,9)</f>
        <v>9</v>
      </c>
      <c r="M123" cm="1">
        <f t="array" ref="M123">_xlfn.IFS(
tbl_Data2[[#This Row],[Total_Amount_30D]]&lt;10000,2,
tbl_Data2[[#This Row],[Total_Amount_30D]]&lt;25000,5,
tbl_Data2[[#This Row],[Total_Amount_30D]]&lt;50000,7,
tbl_Data2[[#This Row],[Total_Amount_30D]]&gt;=50000,9
)</f>
        <v>7</v>
      </c>
      <c r="N123" cm="1">
        <f t="array" ref="N123">_xlfn.IFS(
tbl_Data2[[#This Row],[Amount_Deviation]]&lt;1.5,2,
tbl_Data2[[#This Row],[Amount_Deviation]]&lt;3,6,
tbl_Data2[[#This Row],[Amount_Deviation]]&lt;6,8,
tbl_Data2[[#This Row],[Amount_Deviation]]&gt;=6,10
)</f>
        <v>2</v>
      </c>
      <c r="O123">
        <f>ROUND(
    (tbl_Data2[[#This Row],[Geo_Score]]*0.2) +
    (tbl_Data2[[#This Row],[Velocity_Score]]*0.25) +
    (tbl_Data2[[#This Row],[Volume_Score]]*0.25) +
    (tbl_Data2[[#This Row],[Deviation_Score]]*0.3),
1
)</f>
        <v>6</v>
      </c>
      <c r="P123" t="str" cm="1">
        <f t="array" ref="P123">_xlfn.IFS(
tbl_Data2[[#This Row],[Final_Risk_Score]]&lt;5.5,"Low",
tbl_Data2[[#This Row],[Final_Risk_Score]]&lt;7.5,"Medium",
tbl_Data2[[#This Row],[Final_Risk_Score]]&gt;=7.5,"High"
)</f>
        <v>Medium</v>
      </c>
      <c r="Q123" t="str" cm="1">
        <f t="array" ref="Q123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24" spans="1:17">
      <c r="A124" t="str">
        <f>tbl_data[[#This Row],[Customer_ID]]</f>
        <v>CUST-123</v>
      </c>
      <c r="B124" t="str">
        <f>tbl_data[[#This Row],[Customer_Type]]</f>
        <v>Business</v>
      </c>
      <c r="C124" t="str">
        <f>tbl_data[[#This Row],[Country]]</f>
        <v>BVI</v>
      </c>
      <c r="D124" t="str">
        <f>tbl_data[[#This Row],[Industry]]</f>
        <v>Consulting</v>
      </c>
      <c r="E124">
        <f>tbl_data[[#This Row],[Tx_Count_30D]]</f>
        <v>51</v>
      </c>
      <c r="F124">
        <f>tbl_data[[#This Row],[Total_Amount_30D]]</f>
        <v>104656</v>
      </c>
      <c r="G124">
        <f>tbl_data[[#This Row],[Avg_Tx_Count_6M]]</f>
        <v>19</v>
      </c>
      <c r="H124">
        <f>tbl_data[[#This Row],[Avg_Total_Amount_6M]]</f>
        <v>76678</v>
      </c>
      <c r="I124">
        <f>IFERROR(tbl_Data2[[#This Row],[Tx_Count_30D]]/tbl_Data2[[#This Row],[Avg_Tx_Count_6M]],0)</f>
        <v>2.6842105263157894</v>
      </c>
      <c r="J124">
        <f>IFERROR(tbl_Data2[[#This Row],[Total_Amount_30D]]/tbl_Data2[[#This Row],[Avg_Total_Amount_6M]],0)</f>
        <v>1.3648764965179061</v>
      </c>
      <c r="K124">
        <f>_xlfn.XLOOKUP(tbl_Data2[[#This Row],[Country]], Geo_Map[Country], Geo_Map[Score], 5)</f>
        <v>9</v>
      </c>
      <c r="L124" cm="1">
        <f t="array" ref="L124">_xlfn.IFS(tbl_Data2[[#This Row],[Tx_Count_30D]]&lt;=5,2,tbl_Data2[[#This Row],[Tx_Count_30D]]&lt;=15,5,tbl_Data2[[#This Row],[Tx_Count_30D]]&lt;=30,7,tbl_Data2[[#This Row],[Tx_Count_30D]]&gt;30,9)</f>
        <v>9</v>
      </c>
      <c r="M124" cm="1">
        <f t="array" ref="M124">_xlfn.IFS(
tbl_Data2[[#This Row],[Total_Amount_30D]]&lt;10000,2,
tbl_Data2[[#This Row],[Total_Amount_30D]]&lt;25000,5,
tbl_Data2[[#This Row],[Total_Amount_30D]]&lt;50000,7,
tbl_Data2[[#This Row],[Total_Amount_30D]]&gt;=50000,9
)</f>
        <v>9</v>
      </c>
      <c r="N124" cm="1">
        <f t="array" ref="N124">_xlfn.IFS(
tbl_Data2[[#This Row],[Amount_Deviation]]&lt;1.5,2,
tbl_Data2[[#This Row],[Amount_Deviation]]&lt;3,6,
tbl_Data2[[#This Row],[Amount_Deviation]]&lt;6,8,
tbl_Data2[[#This Row],[Amount_Deviation]]&gt;=6,10
)</f>
        <v>2</v>
      </c>
      <c r="O124">
        <f>ROUND(
    (tbl_Data2[[#This Row],[Geo_Score]]*0.2) +
    (tbl_Data2[[#This Row],[Velocity_Score]]*0.25) +
    (tbl_Data2[[#This Row],[Volume_Score]]*0.25) +
    (tbl_Data2[[#This Row],[Deviation_Score]]*0.3),
1
)</f>
        <v>6.9</v>
      </c>
      <c r="P124" t="str" cm="1">
        <f t="array" ref="P124">_xlfn.IFS(
tbl_Data2[[#This Row],[Final_Risk_Score]]&lt;5.5,"Low",
tbl_Data2[[#This Row],[Final_Risk_Score]]&lt;7.5,"Medium",
tbl_Data2[[#This Row],[Final_Risk_Score]]&gt;=7.5,"High"
)</f>
        <v>Medium</v>
      </c>
      <c r="Q124" t="str" cm="1">
        <f t="array" ref="Q124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25" spans="1:17" hidden="1">
      <c r="A125" t="str">
        <f>tbl_data[[#This Row],[Customer_ID]]</f>
        <v>CUST-124</v>
      </c>
      <c r="B125" t="str">
        <f>tbl_data[[#This Row],[Customer_Type]]</f>
        <v>Business</v>
      </c>
      <c r="C125" t="str">
        <f>tbl_data[[#This Row],[Country]]</f>
        <v>USA</v>
      </c>
      <c r="D125" t="str">
        <f>tbl_data[[#This Row],[Industry]]</f>
        <v>Trading</v>
      </c>
      <c r="E125">
        <f>tbl_data[[#This Row],[Tx_Count_30D]]</f>
        <v>31</v>
      </c>
      <c r="F125">
        <f>tbl_data[[#This Row],[Total_Amount_30D]]</f>
        <v>70556</v>
      </c>
      <c r="G125">
        <f>tbl_data[[#This Row],[Avg_Tx_Count_6M]]</f>
        <v>16</v>
      </c>
      <c r="H125">
        <f>tbl_data[[#This Row],[Avg_Total_Amount_6M]]</f>
        <v>55452</v>
      </c>
      <c r="I125">
        <f>IFERROR(tbl_Data2[[#This Row],[Tx_Count_30D]]/tbl_Data2[[#This Row],[Avg_Tx_Count_6M]],0)</f>
        <v>1.9375</v>
      </c>
      <c r="J125">
        <f>IFERROR(tbl_Data2[[#This Row],[Total_Amount_30D]]/tbl_Data2[[#This Row],[Avg_Total_Amount_6M]],0)</f>
        <v>1.272379715790233</v>
      </c>
      <c r="K125">
        <f>_xlfn.XLOOKUP(tbl_Data2[[#This Row],[Country]], Geo_Map[Country], Geo_Map[Score], 5)</f>
        <v>1</v>
      </c>
      <c r="L125" cm="1">
        <f t="array" ref="L125">_xlfn.IFS(tbl_Data2[[#This Row],[Tx_Count_30D]]&lt;=5,2,tbl_Data2[[#This Row],[Tx_Count_30D]]&lt;=15,5,tbl_Data2[[#This Row],[Tx_Count_30D]]&lt;=30,7,tbl_Data2[[#This Row],[Tx_Count_30D]]&gt;30,9)</f>
        <v>9</v>
      </c>
      <c r="M125" cm="1">
        <f t="array" ref="M125">_xlfn.IFS(
tbl_Data2[[#This Row],[Total_Amount_30D]]&lt;10000,2,
tbl_Data2[[#This Row],[Total_Amount_30D]]&lt;25000,5,
tbl_Data2[[#This Row],[Total_Amount_30D]]&lt;50000,7,
tbl_Data2[[#This Row],[Total_Amount_30D]]&gt;=50000,9
)</f>
        <v>9</v>
      </c>
      <c r="N125" cm="1">
        <f t="array" ref="N125">_xlfn.IFS(
tbl_Data2[[#This Row],[Amount_Deviation]]&lt;1.5,2,
tbl_Data2[[#This Row],[Amount_Deviation]]&lt;3,6,
tbl_Data2[[#This Row],[Amount_Deviation]]&lt;6,8,
tbl_Data2[[#This Row],[Amount_Deviation]]&gt;=6,10
)</f>
        <v>2</v>
      </c>
      <c r="O125">
        <f>ROUND(
    (tbl_Data2[[#This Row],[Geo_Score]]*0.2) +
    (tbl_Data2[[#This Row],[Velocity_Score]]*0.25) +
    (tbl_Data2[[#This Row],[Volume_Score]]*0.25) +
    (tbl_Data2[[#This Row],[Deviation_Score]]*0.3),
1
)</f>
        <v>5.3</v>
      </c>
      <c r="P125" t="str" cm="1">
        <f t="array" ref="P125">_xlfn.IFS(
tbl_Data2[[#This Row],[Final_Risk_Score]]&lt;5.5,"Low",
tbl_Data2[[#This Row],[Final_Risk_Score]]&lt;7.5,"Medium",
tbl_Data2[[#This Row],[Final_Risk_Score]]&gt;=7.5,"High"
)</f>
        <v>Low</v>
      </c>
      <c r="Q125" t="str" cm="1">
        <f t="array" ref="Q125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126" spans="1:17">
      <c r="A126" t="str">
        <f>tbl_data[[#This Row],[Customer_ID]]</f>
        <v>CUST-125</v>
      </c>
      <c r="B126" t="str">
        <f>tbl_data[[#This Row],[Customer_Type]]</f>
        <v>Business</v>
      </c>
      <c r="C126" t="str">
        <f>tbl_data[[#This Row],[Country]]</f>
        <v>Hong Kong</v>
      </c>
      <c r="D126" t="str">
        <f>tbl_data[[#This Row],[Industry]]</f>
        <v>Manufacturing</v>
      </c>
      <c r="E126">
        <f>tbl_data[[#This Row],[Tx_Count_30D]]</f>
        <v>20</v>
      </c>
      <c r="F126">
        <f>tbl_data[[#This Row],[Total_Amount_30D]]</f>
        <v>92160</v>
      </c>
      <c r="G126">
        <f>tbl_data[[#This Row],[Avg_Tx_Count_6M]]</f>
        <v>30</v>
      </c>
      <c r="H126">
        <f>tbl_data[[#This Row],[Avg_Total_Amount_6M]]</f>
        <v>58118</v>
      </c>
      <c r="I126">
        <f>IFERROR(tbl_Data2[[#This Row],[Tx_Count_30D]]/tbl_Data2[[#This Row],[Avg_Tx_Count_6M]],0)</f>
        <v>0.66666666666666663</v>
      </c>
      <c r="J126">
        <f>IFERROR(tbl_Data2[[#This Row],[Total_Amount_30D]]/tbl_Data2[[#This Row],[Avg_Total_Amount_6M]],0)</f>
        <v>1.5857393578581507</v>
      </c>
      <c r="K126">
        <f>_xlfn.XLOOKUP(tbl_Data2[[#This Row],[Country]], Geo_Map[Country], Geo_Map[Score], 5)</f>
        <v>6</v>
      </c>
      <c r="L126" cm="1">
        <f t="array" ref="L126">_xlfn.IFS(tbl_Data2[[#This Row],[Tx_Count_30D]]&lt;=5,2,tbl_Data2[[#This Row],[Tx_Count_30D]]&lt;=15,5,tbl_Data2[[#This Row],[Tx_Count_30D]]&lt;=30,7,tbl_Data2[[#This Row],[Tx_Count_30D]]&gt;30,9)</f>
        <v>7</v>
      </c>
      <c r="M126" cm="1">
        <f t="array" ref="M126">_xlfn.IFS(
tbl_Data2[[#This Row],[Total_Amount_30D]]&lt;10000,2,
tbl_Data2[[#This Row],[Total_Amount_30D]]&lt;25000,5,
tbl_Data2[[#This Row],[Total_Amount_30D]]&lt;50000,7,
tbl_Data2[[#This Row],[Total_Amount_30D]]&gt;=50000,9
)</f>
        <v>9</v>
      </c>
      <c r="N126" cm="1">
        <f t="array" ref="N126">_xlfn.IFS(
tbl_Data2[[#This Row],[Amount_Deviation]]&lt;1.5,2,
tbl_Data2[[#This Row],[Amount_Deviation]]&lt;3,6,
tbl_Data2[[#This Row],[Amount_Deviation]]&lt;6,8,
tbl_Data2[[#This Row],[Amount_Deviation]]&gt;=6,10
)</f>
        <v>6</v>
      </c>
      <c r="O126">
        <f>ROUND(
    (tbl_Data2[[#This Row],[Geo_Score]]*0.2) +
    (tbl_Data2[[#This Row],[Velocity_Score]]*0.25) +
    (tbl_Data2[[#This Row],[Volume_Score]]*0.25) +
    (tbl_Data2[[#This Row],[Deviation_Score]]*0.3),
1
)</f>
        <v>7</v>
      </c>
      <c r="P126" t="str" cm="1">
        <f t="array" ref="P126">_xlfn.IFS(
tbl_Data2[[#This Row],[Final_Risk_Score]]&lt;5.5,"Low",
tbl_Data2[[#This Row],[Final_Risk_Score]]&lt;7.5,"Medium",
tbl_Data2[[#This Row],[Final_Risk_Score]]&gt;=7.5,"High"
)</f>
        <v>Medium</v>
      </c>
      <c r="Q126" t="str" cm="1">
        <f t="array" ref="Q126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27" spans="1:17">
      <c r="A127" t="str">
        <f>tbl_data[[#This Row],[Customer_ID]]</f>
        <v>CUST-126</v>
      </c>
      <c r="B127" t="str">
        <f>tbl_data[[#This Row],[Customer_Type]]</f>
        <v>Business</v>
      </c>
      <c r="C127" t="str">
        <f>tbl_data[[#This Row],[Country]]</f>
        <v>Seychelles</v>
      </c>
      <c r="D127" t="str">
        <f>tbl_data[[#This Row],[Industry]]</f>
        <v>Consulting</v>
      </c>
      <c r="E127">
        <f>tbl_data[[#This Row],[Tx_Count_30D]]</f>
        <v>21</v>
      </c>
      <c r="F127">
        <f>tbl_data[[#This Row],[Total_Amount_30D]]</f>
        <v>31727</v>
      </c>
      <c r="G127">
        <f>tbl_data[[#This Row],[Avg_Tx_Count_6M]]</f>
        <v>9</v>
      </c>
      <c r="H127">
        <f>tbl_data[[#This Row],[Avg_Total_Amount_6M]]</f>
        <v>16907</v>
      </c>
      <c r="I127">
        <f>IFERROR(tbl_Data2[[#This Row],[Tx_Count_30D]]/tbl_Data2[[#This Row],[Avg_Tx_Count_6M]],0)</f>
        <v>2.3333333333333335</v>
      </c>
      <c r="J127">
        <f>IFERROR(tbl_Data2[[#This Row],[Total_Amount_30D]]/tbl_Data2[[#This Row],[Avg_Total_Amount_6M]],0)</f>
        <v>1.8765600047317679</v>
      </c>
      <c r="K127">
        <f>_xlfn.XLOOKUP(tbl_Data2[[#This Row],[Country]], Geo_Map[Country], Geo_Map[Score], 5)</f>
        <v>9</v>
      </c>
      <c r="L127" cm="1">
        <f t="array" ref="L127">_xlfn.IFS(tbl_Data2[[#This Row],[Tx_Count_30D]]&lt;=5,2,tbl_Data2[[#This Row],[Tx_Count_30D]]&lt;=15,5,tbl_Data2[[#This Row],[Tx_Count_30D]]&lt;=30,7,tbl_Data2[[#This Row],[Tx_Count_30D]]&gt;30,9)</f>
        <v>7</v>
      </c>
      <c r="M127" cm="1">
        <f t="array" ref="M127">_xlfn.IFS(
tbl_Data2[[#This Row],[Total_Amount_30D]]&lt;10000,2,
tbl_Data2[[#This Row],[Total_Amount_30D]]&lt;25000,5,
tbl_Data2[[#This Row],[Total_Amount_30D]]&lt;50000,7,
tbl_Data2[[#This Row],[Total_Amount_30D]]&gt;=50000,9
)</f>
        <v>7</v>
      </c>
      <c r="N127" cm="1">
        <f t="array" ref="N127">_xlfn.IFS(
tbl_Data2[[#This Row],[Amount_Deviation]]&lt;1.5,2,
tbl_Data2[[#This Row],[Amount_Deviation]]&lt;3,6,
tbl_Data2[[#This Row],[Amount_Deviation]]&lt;6,8,
tbl_Data2[[#This Row],[Amount_Deviation]]&gt;=6,10
)</f>
        <v>6</v>
      </c>
      <c r="O127">
        <f>ROUND(
    (tbl_Data2[[#This Row],[Geo_Score]]*0.2) +
    (tbl_Data2[[#This Row],[Velocity_Score]]*0.25) +
    (tbl_Data2[[#This Row],[Volume_Score]]*0.25) +
    (tbl_Data2[[#This Row],[Deviation_Score]]*0.3),
1
)</f>
        <v>7.1</v>
      </c>
      <c r="P127" t="str" cm="1">
        <f t="array" ref="P127">_xlfn.IFS(
tbl_Data2[[#This Row],[Final_Risk_Score]]&lt;5.5,"Low",
tbl_Data2[[#This Row],[Final_Risk_Score]]&lt;7.5,"Medium",
tbl_Data2[[#This Row],[Final_Risk_Score]]&gt;=7.5,"High"
)</f>
        <v>Medium</v>
      </c>
      <c r="Q127" t="str" cm="1">
        <f t="array" ref="Q127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28" spans="1:17" hidden="1">
      <c r="A128" t="str">
        <f>tbl_data[[#This Row],[Customer_ID]]</f>
        <v>CUST-127</v>
      </c>
      <c r="B128" t="str">
        <f>tbl_data[[#This Row],[Customer_Type]]</f>
        <v>Business</v>
      </c>
      <c r="C128" t="str">
        <f>tbl_data[[#This Row],[Country]]</f>
        <v>USA</v>
      </c>
      <c r="D128" t="str">
        <f>tbl_data[[#This Row],[Industry]]</f>
        <v>IT Services</v>
      </c>
      <c r="E128">
        <f>tbl_data[[#This Row],[Tx_Count_30D]]</f>
        <v>5</v>
      </c>
      <c r="F128">
        <f>tbl_data[[#This Row],[Total_Amount_30D]]</f>
        <v>106830</v>
      </c>
      <c r="G128">
        <f>tbl_data[[#This Row],[Avg_Tx_Count_6M]]</f>
        <v>14</v>
      </c>
      <c r="H128">
        <f>tbl_data[[#This Row],[Avg_Total_Amount_6M]]</f>
        <v>19191</v>
      </c>
      <c r="I128">
        <f>IFERROR(tbl_Data2[[#This Row],[Tx_Count_30D]]/tbl_Data2[[#This Row],[Avg_Tx_Count_6M]],0)</f>
        <v>0.35714285714285715</v>
      </c>
      <c r="J128">
        <f>IFERROR(tbl_Data2[[#This Row],[Total_Amount_30D]]/tbl_Data2[[#This Row],[Avg_Total_Amount_6M]],0)</f>
        <v>5.566671877442551</v>
      </c>
      <c r="K128">
        <f>_xlfn.XLOOKUP(tbl_Data2[[#This Row],[Country]], Geo_Map[Country], Geo_Map[Score], 5)</f>
        <v>1</v>
      </c>
      <c r="L128" cm="1">
        <f t="array" ref="L128">_xlfn.IFS(tbl_Data2[[#This Row],[Tx_Count_30D]]&lt;=5,2,tbl_Data2[[#This Row],[Tx_Count_30D]]&lt;=15,5,tbl_Data2[[#This Row],[Tx_Count_30D]]&lt;=30,7,tbl_Data2[[#This Row],[Tx_Count_30D]]&gt;30,9)</f>
        <v>2</v>
      </c>
      <c r="M128" cm="1">
        <f t="array" ref="M128">_xlfn.IFS(
tbl_Data2[[#This Row],[Total_Amount_30D]]&lt;10000,2,
tbl_Data2[[#This Row],[Total_Amount_30D]]&lt;25000,5,
tbl_Data2[[#This Row],[Total_Amount_30D]]&lt;50000,7,
tbl_Data2[[#This Row],[Total_Amount_30D]]&gt;=50000,9
)</f>
        <v>9</v>
      </c>
      <c r="N128" cm="1">
        <f t="array" ref="N128">_xlfn.IFS(
tbl_Data2[[#This Row],[Amount_Deviation]]&lt;1.5,2,
tbl_Data2[[#This Row],[Amount_Deviation]]&lt;3,6,
tbl_Data2[[#This Row],[Amount_Deviation]]&lt;6,8,
tbl_Data2[[#This Row],[Amount_Deviation]]&gt;=6,10
)</f>
        <v>8</v>
      </c>
      <c r="O128">
        <f>ROUND(
    (tbl_Data2[[#This Row],[Geo_Score]]*0.2) +
    (tbl_Data2[[#This Row],[Velocity_Score]]*0.25) +
    (tbl_Data2[[#This Row],[Volume_Score]]*0.25) +
    (tbl_Data2[[#This Row],[Deviation_Score]]*0.3),
1
)</f>
        <v>5.4</v>
      </c>
      <c r="P128" t="str" cm="1">
        <f t="array" ref="P128">_xlfn.IFS(
tbl_Data2[[#This Row],[Final_Risk_Score]]&lt;5.5,"Low",
tbl_Data2[[#This Row],[Final_Risk_Score]]&lt;7.5,"Medium",
tbl_Data2[[#This Row],[Final_Risk_Score]]&gt;=7.5,"High"
)</f>
        <v>Low</v>
      </c>
      <c r="Q128" t="str" cm="1">
        <f t="array" ref="Q128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129" spans="1:17">
      <c r="A129" t="str">
        <f>tbl_data[[#This Row],[Customer_ID]]</f>
        <v>CUST-128</v>
      </c>
      <c r="B129" t="str">
        <f>tbl_data[[#This Row],[Customer_Type]]</f>
        <v>Business</v>
      </c>
      <c r="C129" t="str">
        <f>tbl_data[[#This Row],[Country]]</f>
        <v>Cyprus</v>
      </c>
      <c r="D129" t="str">
        <f>tbl_data[[#This Row],[Industry]]</f>
        <v>Logistics</v>
      </c>
      <c r="E129">
        <f>tbl_data[[#This Row],[Tx_Count_30D]]</f>
        <v>48</v>
      </c>
      <c r="F129">
        <f>tbl_data[[#This Row],[Total_Amount_30D]]</f>
        <v>29813</v>
      </c>
      <c r="G129">
        <f>tbl_data[[#This Row],[Avg_Tx_Count_6M]]</f>
        <v>14</v>
      </c>
      <c r="H129">
        <f>tbl_data[[#This Row],[Avg_Total_Amount_6M]]</f>
        <v>37802</v>
      </c>
      <c r="I129">
        <f>IFERROR(tbl_Data2[[#This Row],[Tx_Count_30D]]/tbl_Data2[[#This Row],[Avg_Tx_Count_6M]],0)</f>
        <v>3.4285714285714284</v>
      </c>
      <c r="J129">
        <f>IFERROR(tbl_Data2[[#This Row],[Total_Amount_30D]]/tbl_Data2[[#This Row],[Avg_Total_Amount_6M]],0)</f>
        <v>0.7886619755568488</v>
      </c>
      <c r="K129">
        <f>_xlfn.XLOOKUP(tbl_Data2[[#This Row],[Country]], Geo_Map[Country], Geo_Map[Score], 5)</f>
        <v>7</v>
      </c>
      <c r="L129" cm="1">
        <f t="array" ref="L129">_xlfn.IFS(tbl_Data2[[#This Row],[Tx_Count_30D]]&lt;=5,2,tbl_Data2[[#This Row],[Tx_Count_30D]]&lt;=15,5,tbl_Data2[[#This Row],[Tx_Count_30D]]&lt;=30,7,tbl_Data2[[#This Row],[Tx_Count_30D]]&gt;30,9)</f>
        <v>9</v>
      </c>
      <c r="M129" cm="1">
        <f t="array" ref="M129">_xlfn.IFS(
tbl_Data2[[#This Row],[Total_Amount_30D]]&lt;10000,2,
tbl_Data2[[#This Row],[Total_Amount_30D]]&lt;25000,5,
tbl_Data2[[#This Row],[Total_Amount_30D]]&lt;50000,7,
tbl_Data2[[#This Row],[Total_Amount_30D]]&gt;=50000,9
)</f>
        <v>7</v>
      </c>
      <c r="N129" cm="1">
        <f t="array" ref="N129">_xlfn.IFS(
tbl_Data2[[#This Row],[Amount_Deviation]]&lt;1.5,2,
tbl_Data2[[#This Row],[Amount_Deviation]]&lt;3,6,
tbl_Data2[[#This Row],[Amount_Deviation]]&lt;6,8,
tbl_Data2[[#This Row],[Amount_Deviation]]&gt;=6,10
)</f>
        <v>2</v>
      </c>
      <c r="O129">
        <f>ROUND(
    (tbl_Data2[[#This Row],[Geo_Score]]*0.2) +
    (tbl_Data2[[#This Row],[Velocity_Score]]*0.25) +
    (tbl_Data2[[#This Row],[Volume_Score]]*0.25) +
    (tbl_Data2[[#This Row],[Deviation_Score]]*0.3),
1
)</f>
        <v>6</v>
      </c>
      <c r="P129" t="str" cm="1">
        <f t="array" ref="P129">_xlfn.IFS(
tbl_Data2[[#This Row],[Final_Risk_Score]]&lt;5.5,"Low",
tbl_Data2[[#This Row],[Final_Risk_Score]]&lt;7.5,"Medium",
tbl_Data2[[#This Row],[Final_Risk_Score]]&gt;=7.5,"High"
)</f>
        <v>Medium</v>
      </c>
      <c r="Q129" t="str" cm="1">
        <f t="array" ref="Q129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30" spans="1:17">
      <c r="A130" t="str">
        <f>tbl_data[[#This Row],[Customer_ID]]</f>
        <v>CUST-129</v>
      </c>
      <c r="B130" t="str">
        <f>tbl_data[[#This Row],[Customer_Type]]</f>
        <v>Business</v>
      </c>
      <c r="C130" t="str">
        <f>tbl_data[[#This Row],[Country]]</f>
        <v>Seychelles</v>
      </c>
      <c r="D130" t="str">
        <f>tbl_data[[#This Row],[Industry]]</f>
        <v>IT Services</v>
      </c>
      <c r="E130">
        <f>tbl_data[[#This Row],[Tx_Count_30D]]</f>
        <v>20</v>
      </c>
      <c r="F130">
        <f>tbl_data[[#This Row],[Total_Amount_30D]]</f>
        <v>76883</v>
      </c>
      <c r="G130">
        <f>tbl_data[[#This Row],[Avg_Tx_Count_6M]]</f>
        <v>31</v>
      </c>
      <c r="H130">
        <f>tbl_data[[#This Row],[Avg_Total_Amount_6M]]</f>
        <v>76893</v>
      </c>
      <c r="I130">
        <f>IFERROR(tbl_Data2[[#This Row],[Tx_Count_30D]]/tbl_Data2[[#This Row],[Avg_Tx_Count_6M]],0)</f>
        <v>0.64516129032258063</v>
      </c>
      <c r="J130">
        <f>IFERROR(tbl_Data2[[#This Row],[Total_Amount_30D]]/tbl_Data2[[#This Row],[Avg_Total_Amount_6M]],0)</f>
        <v>0.99986994915011773</v>
      </c>
      <c r="K130">
        <f>_xlfn.XLOOKUP(tbl_Data2[[#This Row],[Country]], Geo_Map[Country], Geo_Map[Score], 5)</f>
        <v>9</v>
      </c>
      <c r="L130" cm="1">
        <f t="array" ref="L130">_xlfn.IFS(tbl_Data2[[#This Row],[Tx_Count_30D]]&lt;=5,2,tbl_Data2[[#This Row],[Tx_Count_30D]]&lt;=15,5,tbl_Data2[[#This Row],[Tx_Count_30D]]&lt;=30,7,tbl_Data2[[#This Row],[Tx_Count_30D]]&gt;30,9)</f>
        <v>7</v>
      </c>
      <c r="M130" cm="1">
        <f t="array" ref="M130">_xlfn.IFS(
tbl_Data2[[#This Row],[Total_Amount_30D]]&lt;10000,2,
tbl_Data2[[#This Row],[Total_Amount_30D]]&lt;25000,5,
tbl_Data2[[#This Row],[Total_Amount_30D]]&lt;50000,7,
tbl_Data2[[#This Row],[Total_Amount_30D]]&gt;=50000,9
)</f>
        <v>9</v>
      </c>
      <c r="N130" cm="1">
        <f t="array" ref="N130">_xlfn.IFS(
tbl_Data2[[#This Row],[Amount_Deviation]]&lt;1.5,2,
tbl_Data2[[#This Row],[Amount_Deviation]]&lt;3,6,
tbl_Data2[[#This Row],[Amount_Deviation]]&lt;6,8,
tbl_Data2[[#This Row],[Amount_Deviation]]&gt;=6,10
)</f>
        <v>2</v>
      </c>
      <c r="O130">
        <f>ROUND(
    (tbl_Data2[[#This Row],[Geo_Score]]*0.2) +
    (tbl_Data2[[#This Row],[Velocity_Score]]*0.25) +
    (tbl_Data2[[#This Row],[Volume_Score]]*0.25) +
    (tbl_Data2[[#This Row],[Deviation_Score]]*0.3),
1
)</f>
        <v>6.4</v>
      </c>
      <c r="P130" t="str" cm="1">
        <f t="array" ref="P130">_xlfn.IFS(
tbl_Data2[[#This Row],[Final_Risk_Score]]&lt;5.5,"Low",
tbl_Data2[[#This Row],[Final_Risk_Score]]&lt;7.5,"Medium",
tbl_Data2[[#This Row],[Final_Risk_Score]]&gt;=7.5,"High"
)</f>
        <v>Medium</v>
      </c>
      <c r="Q130" t="str" cm="1">
        <f t="array" ref="Q130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31" spans="1:17">
      <c r="A131" t="str">
        <f>tbl_data[[#This Row],[Customer_ID]]</f>
        <v>CUST-130</v>
      </c>
      <c r="B131" t="str">
        <f>tbl_data[[#This Row],[Customer_Type]]</f>
        <v>Business</v>
      </c>
      <c r="C131" t="str">
        <f>tbl_data[[#This Row],[Country]]</f>
        <v>UAE</v>
      </c>
      <c r="D131" t="str">
        <f>tbl_data[[#This Row],[Industry]]</f>
        <v>Import/Export</v>
      </c>
      <c r="E131">
        <f>tbl_data[[#This Row],[Tx_Count_30D]]</f>
        <v>55</v>
      </c>
      <c r="F131">
        <f>tbl_data[[#This Row],[Total_Amount_30D]]</f>
        <v>29406</v>
      </c>
      <c r="G131">
        <f>tbl_data[[#This Row],[Avg_Tx_Count_6M]]</f>
        <v>15</v>
      </c>
      <c r="H131">
        <f>tbl_data[[#This Row],[Avg_Total_Amount_6M]]</f>
        <v>18181</v>
      </c>
      <c r="I131">
        <f>IFERROR(tbl_Data2[[#This Row],[Tx_Count_30D]]/tbl_Data2[[#This Row],[Avg_Tx_Count_6M]],0)</f>
        <v>3.6666666666666665</v>
      </c>
      <c r="J131">
        <f>IFERROR(tbl_Data2[[#This Row],[Total_Amount_30D]]/tbl_Data2[[#This Row],[Avg_Total_Amount_6M]],0)</f>
        <v>1.6174027831252407</v>
      </c>
      <c r="K131">
        <f>_xlfn.XLOOKUP(tbl_Data2[[#This Row],[Country]], Geo_Map[Country], Geo_Map[Score], 5)</f>
        <v>6</v>
      </c>
      <c r="L131" cm="1">
        <f t="array" ref="L131">_xlfn.IFS(tbl_Data2[[#This Row],[Tx_Count_30D]]&lt;=5,2,tbl_Data2[[#This Row],[Tx_Count_30D]]&lt;=15,5,tbl_Data2[[#This Row],[Tx_Count_30D]]&lt;=30,7,tbl_Data2[[#This Row],[Tx_Count_30D]]&gt;30,9)</f>
        <v>9</v>
      </c>
      <c r="M131" cm="1">
        <f t="array" ref="M131">_xlfn.IFS(
tbl_Data2[[#This Row],[Total_Amount_30D]]&lt;10000,2,
tbl_Data2[[#This Row],[Total_Amount_30D]]&lt;25000,5,
tbl_Data2[[#This Row],[Total_Amount_30D]]&lt;50000,7,
tbl_Data2[[#This Row],[Total_Amount_30D]]&gt;=50000,9
)</f>
        <v>7</v>
      </c>
      <c r="N131" cm="1">
        <f t="array" ref="N131">_xlfn.IFS(
tbl_Data2[[#This Row],[Amount_Deviation]]&lt;1.5,2,
tbl_Data2[[#This Row],[Amount_Deviation]]&lt;3,6,
tbl_Data2[[#This Row],[Amount_Deviation]]&lt;6,8,
tbl_Data2[[#This Row],[Amount_Deviation]]&gt;=6,10
)</f>
        <v>6</v>
      </c>
      <c r="O131">
        <f>ROUND(
    (tbl_Data2[[#This Row],[Geo_Score]]*0.2) +
    (tbl_Data2[[#This Row],[Velocity_Score]]*0.25) +
    (tbl_Data2[[#This Row],[Volume_Score]]*0.25) +
    (tbl_Data2[[#This Row],[Deviation_Score]]*0.3),
1
)</f>
        <v>7</v>
      </c>
      <c r="P131" t="str" cm="1">
        <f t="array" ref="P131">_xlfn.IFS(
tbl_Data2[[#This Row],[Final_Risk_Score]]&lt;5.5,"Low",
tbl_Data2[[#This Row],[Final_Risk_Score]]&lt;7.5,"Medium",
tbl_Data2[[#This Row],[Final_Risk_Score]]&gt;=7.5,"High"
)</f>
        <v>Medium</v>
      </c>
      <c r="Q131" t="str" cm="1">
        <f t="array" ref="Q131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32" spans="1:17">
      <c r="A132" t="str">
        <f>tbl_data[[#This Row],[Customer_ID]]</f>
        <v>CUST-131</v>
      </c>
      <c r="B132" t="str">
        <f>tbl_data[[#This Row],[Customer_Type]]</f>
        <v>Business</v>
      </c>
      <c r="C132" t="str">
        <f>tbl_data[[#This Row],[Country]]</f>
        <v>UAE</v>
      </c>
      <c r="D132" t="str">
        <f>tbl_data[[#This Row],[Industry]]</f>
        <v>Consulting</v>
      </c>
      <c r="E132">
        <f>tbl_data[[#This Row],[Tx_Count_30D]]</f>
        <v>28</v>
      </c>
      <c r="F132">
        <f>tbl_data[[#This Row],[Total_Amount_30D]]</f>
        <v>115360</v>
      </c>
      <c r="G132">
        <f>tbl_data[[#This Row],[Avg_Tx_Count_6M]]</f>
        <v>12</v>
      </c>
      <c r="H132">
        <f>tbl_data[[#This Row],[Avg_Total_Amount_6M]]</f>
        <v>48164</v>
      </c>
      <c r="I132">
        <f>IFERROR(tbl_Data2[[#This Row],[Tx_Count_30D]]/tbl_Data2[[#This Row],[Avg_Tx_Count_6M]],0)</f>
        <v>2.3333333333333335</v>
      </c>
      <c r="J132">
        <f>IFERROR(tbl_Data2[[#This Row],[Total_Amount_30D]]/tbl_Data2[[#This Row],[Avg_Total_Amount_6M]],0)</f>
        <v>2.3951499044929823</v>
      </c>
      <c r="K132">
        <f>_xlfn.XLOOKUP(tbl_Data2[[#This Row],[Country]], Geo_Map[Country], Geo_Map[Score], 5)</f>
        <v>6</v>
      </c>
      <c r="L132" cm="1">
        <f t="array" ref="L132">_xlfn.IFS(tbl_Data2[[#This Row],[Tx_Count_30D]]&lt;=5,2,tbl_Data2[[#This Row],[Tx_Count_30D]]&lt;=15,5,tbl_Data2[[#This Row],[Tx_Count_30D]]&lt;=30,7,tbl_Data2[[#This Row],[Tx_Count_30D]]&gt;30,9)</f>
        <v>7</v>
      </c>
      <c r="M132" cm="1">
        <f t="array" ref="M132">_xlfn.IFS(
tbl_Data2[[#This Row],[Total_Amount_30D]]&lt;10000,2,
tbl_Data2[[#This Row],[Total_Amount_30D]]&lt;25000,5,
tbl_Data2[[#This Row],[Total_Amount_30D]]&lt;50000,7,
tbl_Data2[[#This Row],[Total_Amount_30D]]&gt;=50000,9
)</f>
        <v>9</v>
      </c>
      <c r="N132" cm="1">
        <f t="array" ref="N132">_xlfn.IFS(
tbl_Data2[[#This Row],[Amount_Deviation]]&lt;1.5,2,
tbl_Data2[[#This Row],[Amount_Deviation]]&lt;3,6,
tbl_Data2[[#This Row],[Amount_Deviation]]&lt;6,8,
tbl_Data2[[#This Row],[Amount_Deviation]]&gt;=6,10
)</f>
        <v>6</v>
      </c>
      <c r="O132">
        <f>ROUND(
    (tbl_Data2[[#This Row],[Geo_Score]]*0.2) +
    (tbl_Data2[[#This Row],[Velocity_Score]]*0.25) +
    (tbl_Data2[[#This Row],[Volume_Score]]*0.25) +
    (tbl_Data2[[#This Row],[Deviation_Score]]*0.3),
1
)</f>
        <v>7</v>
      </c>
      <c r="P132" t="str" cm="1">
        <f t="array" ref="P132">_xlfn.IFS(
tbl_Data2[[#This Row],[Final_Risk_Score]]&lt;5.5,"Low",
tbl_Data2[[#This Row],[Final_Risk_Score]]&lt;7.5,"Medium",
tbl_Data2[[#This Row],[Final_Risk_Score]]&gt;=7.5,"High"
)</f>
        <v>Medium</v>
      </c>
      <c r="Q132" t="str" cm="1">
        <f t="array" ref="Q132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33" spans="1:17" hidden="1">
      <c r="A133" t="str">
        <f>tbl_data[[#This Row],[Customer_ID]]</f>
        <v>CUST-132</v>
      </c>
      <c r="B133" t="str">
        <f>tbl_data[[#This Row],[Customer_Type]]</f>
        <v>Business</v>
      </c>
      <c r="C133" t="str">
        <f>tbl_data[[#This Row],[Country]]</f>
        <v>BVI</v>
      </c>
      <c r="D133" t="str">
        <f>tbl_data[[#This Row],[Industry]]</f>
        <v>Consulting</v>
      </c>
      <c r="E133">
        <f>tbl_data[[#This Row],[Tx_Count_30D]]</f>
        <v>54</v>
      </c>
      <c r="F133">
        <f>tbl_data[[#This Row],[Total_Amount_30D]]</f>
        <v>71300</v>
      </c>
      <c r="G133">
        <f>tbl_data[[#This Row],[Avg_Tx_Count_6M]]</f>
        <v>32</v>
      </c>
      <c r="H133">
        <f>tbl_data[[#This Row],[Avg_Total_Amount_6M]]</f>
        <v>37774</v>
      </c>
      <c r="I133">
        <f>IFERROR(tbl_Data2[[#This Row],[Tx_Count_30D]]/tbl_Data2[[#This Row],[Avg_Tx_Count_6M]],0)</f>
        <v>1.6875</v>
      </c>
      <c r="J133">
        <f>IFERROR(tbl_Data2[[#This Row],[Total_Amount_30D]]/tbl_Data2[[#This Row],[Avg_Total_Amount_6M]],0)</f>
        <v>1.8875416953460051</v>
      </c>
      <c r="K133">
        <f>_xlfn.XLOOKUP(tbl_Data2[[#This Row],[Country]], Geo_Map[Country], Geo_Map[Score], 5)</f>
        <v>9</v>
      </c>
      <c r="L133" cm="1">
        <f t="array" ref="L133">_xlfn.IFS(tbl_Data2[[#This Row],[Tx_Count_30D]]&lt;=5,2,tbl_Data2[[#This Row],[Tx_Count_30D]]&lt;=15,5,tbl_Data2[[#This Row],[Tx_Count_30D]]&lt;=30,7,tbl_Data2[[#This Row],[Tx_Count_30D]]&gt;30,9)</f>
        <v>9</v>
      </c>
      <c r="M133" cm="1">
        <f t="array" ref="M133">_xlfn.IFS(
tbl_Data2[[#This Row],[Total_Amount_30D]]&lt;10000,2,
tbl_Data2[[#This Row],[Total_Amount_30D]]&lt;25000,5,
tbl_Data2[[#This Row],[Total_Amount_30D]]&lt;50000,7,
tbl_Data2[[#This Row],[Total_Amount_30D]]&gt;=50000,9
)</f>
        <v>9</v>
      </c>
      <c r="N133" cm="1">
        <f t="array" ref="N133">_xlfn.IFS(
tbl_Data2[[#This Row],[Amount_Deviation]]&lt;1.5,2,
tbl_Data2[[#This Row],[Amount_Deviation]]&lt;3,6,
tbl_Data2[[#This Row],[Amount_Deviation]]&lt;6,8,
tbl_Data2[[#This Row],[Amount_Deviation]]&gt;=6,10
)</f>
        <v>6</v>
      </c>
      <c r="O133">
        <f>ROUND(
    (tbl_Data2[[#This Row],[Geo_Score]]*0.2) +
    (tbl_Data2[[#This Row],[Velocity_Score]]*0.25) +
    (tbl_Data2[[#This Row],[Volume_Score]]*0.25) +
    (tbl_Data2[[#This Row],[Deviation_Score]]*0.3),
1
)</f>
        <v>8.1</v>
      </c>
      <c r="P133" t="str" cm="1">
        <f t="array" ref="P133">_xlfn.IFS(
tbl_Data2[[#This Row],[Final_Risk_Score]]&lt;5.5,"Low",
tbl_Data2[[#This Row],[Final_Risk_Score]]&lt;7.5,"Medium",
tbl_Data2[[#This Row],[Final_Risk_Score]]&gt;=7.5,"High"
)</f>
        <v>High</v>
      </c>
      <c r="Q133" t="str" cm="1">
        <f t="array" ref="Q133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134" spans="1:17" hidden="1">
      <c r="A134" t="str">
        <f>tbl_data[[#This Row],[Customer_ID]]</f>
        <v>CUST-133</v>
      </c>
      <c r="B134" t="str">
        <f>tbl_data[[#This Row],[Customer_Type]]</f>
        <v>Individual</v>
      </c>
      <c r="C134" t="str">
        <f>tbl_data[[#This Row],[Country]]</f>
        <v>Hong Kong</v>
      </c>
      <c r="D134" t="str">
        <f>tbl_data[[#This Row],[Industry]]</f>
        <v>Manufacturing</v>
      </c>
      <c r="E134">
        <f>tbl_data[[#This Row],[Tx_Count_30D]]</f>
        <v>57</v>
      </c>
      <c r="F134">
        <f>tbl_data[[#This Row],[Total_Amount_30D]]</f>
        <v>75047</v>
      </c>
      <c r="G134">
        <f>tbl_data[[#This Row],[Avg_Tx_Count_6M]]</f>
        <v>30</v>
      </c>
      <c r="H134">
        <f>tbl_data[[#This Row],[Avg_Total_Amount_6M]]</f>
        <v>7542</v>
      </c>
      <c r="I134">
        <f>IFERROR(tbl_Data2[[#This Row],[Tx_Count_30D]]/tbl_Data2[[#This Row],[Avg_Tx_Count_6M]],0)</f>
        <v>1.9</v>
      </c>
      <c r="J134">
        <f>IFERROR(tbl_Data2[[#This Row],[Total_Amount_30D]]/tbl_Data2[[#This Row],[Avg_Total_Amount_6M]],0)</f>
        <v>9.9505436223813319</v>
      </c>
      <c r="K134">
        <f>_xlfn.XLOOKUP(tbl_Data2[[#This Row],[Country]], Geo_Map[Country], Geo_Map[Score], 5)</f>
        <v>6</v>
      </c>
      <c r="L134" cm="1">
        <f t="array" ref="L134">_xlfn.IFS(tbl_Data2[[#This Row],[Tx_Count_30D]]&lt;=5,2,tbl_Data2[[#This Row],[Tx_Count_30D]]&lt;=15,5,tbl_Data2[[#This Row],[Tx_Count_30D]]&lt;=30,7,tbl_Data2[[#This Row],[Tx_Count_30D]]&gt;30,9)</f>
        <v>9</v>
      </c>
      <c r="M134" cm="1">
        <f t="array" ref="M134">_xlfn.IFS(
tbl_Data2[[#This Row],[Total_Amount_30D]]&lt;10000,2,
tbl_Data2[[#This Row],[Total_Amount_30D]]&lt;25000,5,
tbl_Data2[[#This Row],[Total_Amount_30D]]&lt;50000,7,
tbl_Data2[[#This Row],[Total_Amount_30D]]&gt;=50000,9
)</f>
        <v>9</v>
      </c>
      <c r="N134" cm="1">
        <f t="array" ref="N134">_xlfn.IFS(
tbl_Data2[[#This Row],[Amount_Deviation]]&lt;1.5,2,
tbl_Data2[[#This Row],[Amount_Deviation]]&lt;3,6,
tbl_Data2[[#This Row],[Amount_Deviation]]&lt;6,8,
tbl_Data2[[#This Row],[Amount_Deviation]]&gt;=6,10
)</f>
        <v>10</v>
      </c>
      <c r="O134">
        <f>ROUND(
    (tbl_Data2[[#This Row],[Geo_Score]]*0.2) +
    (tbl_Data2[[#This Row],[Velocity_Score]]*0.25) +
    (tbl_Data2[[#This Row],[Volume_Score]]*0.25) +
    (tbl_Data2[[#This Row],[Deviation_Score]]*0.3),
1
)</f>
        <v>8.6999999999999993</v>
      </c>
      <c r="P134" t="str" cm="1">
        <f t="array" ref="P134">_xlfn.IFS(
tbl_Data2[[#This Row],[Final_Risk_Score]]&lt;5.5,"Low",
tbl_Data2[[#This Row],[Final_Risk_Score]]&lt;7.5,"Medium",
tbl_Data2[[#This Row],[Final_Risk_Score]]&gt;=7.5,"High"
)</f>
        <v>High</v>
      </c>
      <c r="Q134" t="str" cm="1">
        <f t="array" ref="Q134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135" spans="1:17">
      <c r="A135" t="str">
        <f>tbl_data[[#This Row],[Customer_ID]]</f>
        <v>CUST-134</v>
      </c>
      <c r="B135" t="str">
        <f>tbl_data[[#This Row],[Customer_Type]]</f>
        <v>Business</v>
      </c>
      <c r="C135" t="str">
        <f>tbl_data[[#This Row],[Country]]</f>
        <v>UAE</v>
      </c>
      <c r="D135" t="str">
        <f>tbl_data[[#This Row],[Industry]]</f>
        <v>IT Services</v>
      </c>
      <c r="E135">
        <f>tbl_data[[#This Row],[Tx_Count_30D]]</f>
        <v>45</v>
      </c>
      <c r="F135">
        <f>tbl_data[[#This Row],[Total_Amount_30D]]</f>
        <v>96646</v>
      </c>
      <c r="G135">
        <f>tbl_data[[#This Row],[Avg_Tx_Count_6M]]</f>
        <v>12</v>
      </c>
      <c r="H135">
        <f>tbl_data[[#This Row],[Avg_Total_Amount_6M]]</f>
        <v>74818</v>
      </c>
      <c r="I135">
        <f>IFERROR(tbl_Data2[[#This Row],[Tx_Count_30D]]/tbl_Data2[[#This Row],[Avg_Tx_Count_6M]],0)</f>
        <v>3.75</v>
      </c>
      <c r="J135">
        <f>IFERROR(tbl_Data2[[#This Row],[Total_Amount_30D]]/tbl_Data2[[#This Row],[Avg_Total_Amount_6M]],0)</f>
        <v>1.2917479750862093</v>
      </c>
      <c r="K135">
        <f>_xlfn.XLOOKUP(tbl_Data2[[#This Row],[Country]], Geo_Map[Country], Geo_Map[Score], 5)</f>
        <v>6</v>
      </c>
      <c r="L135" cm="1">
        <f t="array" ref="L135">_xlfn.IFS(tbl_Data2[[#This Row],[Tx_Count_30D]]&lt;=5,2,tbl_Data2[[#This Row],[Tx_Count_30D]]&lt;=15,5,tbl_Data2[[#This Row],[Tx_Count_30D]]&lt;=30,7,tbl_Data2[[#This Row],[Tx_Count_30D]]&gt;30,9)</f>
        <v>9</v>
      </c>
      <c r="M135" cm="1">
        <f t="array" ref="M135">_xlfn.IFS(
tbl_Data2[[#This Row],[Total_Amount_30D]]&lt;10000,2,
tbl_Data2[[#This Row],[Total_Amount_30D]]&lt;25000,5,
tbl_Data2[[#This Row],[Total_Amount_30D]]&lt;50000,7,
tbl_Data2[[#This Row],[Total_Amount_30D]]&gt;=50000,9
)</f>
        <v>9</v>
      </c>
      <c r="N135" cm="1">
        <f t="array" ref="N135">_xlfn.IFS(
tbl_Data2[[#This Row],[Amount_Deviation]]&lt;1.5,2,
tbl_Data2[[#This Row],[Amount_Deviation]]&lt;3,6,
tbl_Data2[[#This Row],[Amount_Deviation]]&lt;6,8,
tbl_Data2[[#This Row],[Amount_Deviation]]&gt;=6,10
)</f>
        <v>2</v>
      </c>
      <c r="O135">
        <f>ROUND(
    (tbl_Data2[[#This Row],[Geo_Score]]*0.2) +
    (tbl_Data2[[#This Row],[Velocity_Score]]*0.25) +
    (tbl_Data2[[#This Row],[Volume_Score]]*0.25) +
    (tbl_Data2[[#This Row],[Deviation_Score]]*0.3),
1
)</f>
        <v>6.3</v>
      </c>
      <c r="P135" t="str" cm="1">
        <f t="array" ref="P135">_xlfn.IFS(
tbl_Data2[[#This Row],[Final_Risk_Score]]&lt;5.5,"Low",
tbl_Data2[[#This Row],[Final_Risk_Score]]&lt;7.5,"Medium",
tbl_Data2[[#This Row],[Final_Risk_Score]]&gt;=7.5,"High"
)</f>
        <v>Medium</v>
      </c>
      <c r="Q135" t="str" cm="1">
        <f t="array" ref="Q135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36" spans="1:17">
      <c r="A136" t="str">
        <f>tbl_data[[#This Row],[Customer_ID]]</f>
        <v>CUST-135</v>
      </c>
      <c r="B136" t="str">
        <f>tbl_data[[#This Row],[Customer_Type]]</f>
        <v>Business</v>
      </c>
      <c r="C136" t="str">
        <f>tbl_data[[#This Row],[Country]]</f>
        <v>Seychelles</v>
      </c>
      <c r="D136" t="str">
        <f>tbl_data[[#This Row],[Industry]]</f>
        <v>Consulting</v>
      </c>
      <c r="E136">
        <f>tbl_data[[#This Row],[Tx_Count_30D]]</f>
        <v>38</v>
      </c>
      <c r="F136">
        <f>tbl_data[[#This Row],[Total_Amount_30D]]</f>
        <v>33949</v>
      </c>
      <c r="G136">
        <f>tbl_data[[#This Row],[Avg_Tx_Count_6M]]</f>
        <v>9</v>
      </c>
      <c r="H136">
        <f>tbl_data[[#This Row],[Avg_Total_Amount_6M]]</f>
        <v>72385</v>
      </c>
      <c r="I136">
        <f>IFERROR(tbl_Data2[[#This Row],[Tx_Count_30D]]/tbl_Data2[[#This Row],[Avg_Tx_Count_6M]],0)</f>
        <v>4.2222222222222223</v>
      </c>
      <c r="J136">
        <f>IFERROR(tbl_Data2[[#This Row],[Total_Amount_30D]]/tbl_Data2[[#This Row],[Avg_Total_Amount_6M]],0)</f>
        <v>0.46900600953236166</v>
      </c>
      <c r="K136">
        <f>_xlfn.XLOOKUP(tbl_Data2[[#This Row],[Country]], Geo_Map[Country], Geo_Map[Score], 5)</f>
        <v>9</v>
      </c>
      <c r="L136" cm="1">
        <f t="array" ref="L136">_xlfn.IFS(tbl_Data2[[#This Row],[Tx_Count_30D]]&lt;=5,2,tbl_Data2[[#This Row],[Tx_Count_30D]]&lt;=15,5,tbl_Data2[[#This Row],[Tx_Count_30D]]&lt;=30,7,tbl_Data2[[#This Row],[Tx_Count_30D]]&gt;30,9)</f>
        <v>9</v>
      </c>
      <c r="M136" cm="1">
        <f t="array" ref="M136">_xlfn.IFS(
tbl_Data2[[#This Row],[Total_Amount_30D]]&lt;10000,2,
tbl_Data2[[#This Row],[Total_Amount_30D]]&lt;25000,5,
tbl_Data2[[#This Row],[Total_Amount_30D]]&lt;50000,7,
tbl_Data2[[#This Row],[Total_Amount_30D]]&gt;=50000,9
)</f>
        <v>7</v>
      </c>
      <c r="N136" cm="1">
        <f t="array" ref="N136">_xlfn.IFS(
tbl_Data2[[#This Row],[Amount_Deviation]]&lt;1.5,2,
tbl_Data2[[#This Row],[Amount_Deviation]]&lt;3,6,
tbl_Data2[[#This Row],[Amount_Deviation]]&lt;6,8,
tbl_Data2[[#This Row],[Amount_Deviation]]&gt;=6,10
)</f>
        <v>2</v>
      </c>
      <c r="O136">
        <f>ROUND(
    (tbl_Data2[[#This Row],[Geo_Score]]*0.2) +
    (tbl_Data2[[#This Row],[Velocity_Score]]*0.25) +
    (tbl_Data2[[#This Row],[Volume_Score]]*0.25) +
    (tbl_Data2[[#This Row],[Deviation_Score]]*0.3),
1
)</f>
        <v>6.4</v>
      </c>
      <c r="P136" t="str" cm="1">
        <f t="array" ref="P136">_xlfn.IFS(
tbl_Data2[[#This Row],[Final_Risk_Score]]&lt;5.5,"Low",
tbl_Data2[[#This Row],[Final_Risk_Score]]&lt;7.5,"Medium",
tbl_Data2[[#This Row],[Final_Risk_Score]]&gt;=7.5,"High"
)</f>
        <v>Medium</v>
      </c>
      <c r="Q136" t="str" cm="1">
        <f t="array" ref="Q136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37" spans="1:17" hidden="1">
      <c r="A137" t="str">
        <f>tbl_data[[#This Row],[Customer_ID]]</f>
        <v>CUST-136</v>
      </c>
      <c r="B137" t="str">
        <f>tbl_data[[#This Row],[Customer_Type]]</f>
        <v>Business</v>
      </c>
      <c r="C137" t="str">
        <f>tbl_data[[#This Row],[Country]]</f>
        <v>Seychelles</v>
      </c>
      <c r="D137" t="str">
        <f>tbl_data[[#This Row],[Industry]]</f>
        <v>Import/Export</v>
      </c>
      <c r="E137">
        <f>tbl_data[[#This Row],[Tx_Count_30D]]</f>
        <v>47</v>
      </c>
      <c r="F137">
        <f>tbl_data[[#This Row],[Total_Amount_30D]]</f>
        <v>7658</v>
      </c>
      <c r="G137">
        <f>tbl_data[[#This Row],[Avg_Tx_Count_6M]]</f>
        <v>7</v>
      </c>
      <c r="H137">
        <f>tbl_data[[#This Row],[Avg_Total_Amount_6M]]</f>
        <v>10475</v>
      </c>
      <c r="I137">
        <f>IFERROR(tbl_Data2[[#This Row],[Tx_Count_30D]]/tbl_Data2[[#This Row],[Avg_Tx_Count_6M]],0)</f>
        <v>6.7142857142857144</v>
      </c>
      <c r="J137">
        <f>IFERROR(tbl_Data2[[#This Row],[Total_Amount_30D]]/tbl_Data2[[#This Row],[Avg_Total_Amount_6M]],0)</f>
        <v>0.73107398568019089</v>
      </c>
      <c r="K137">
        <f>_xlfn.XLOOKUP(tbl_Data2[[#This Row],[Country]], Geo_Map[Country], Geo_Map[Score], 5)</f>
        <v>9</v>
      </c>
      <c r="L137" cm="1">
        <f t="array" ref="L137">_xlfn.IFS(tbl_Data2[[#This Row],[Tx_Count_30D]]&lt;=5,2,tbl_Data2[[#This Row],[Tx_Count_30D]]&lt;=15,5,tbl_Data2[[#This Row],[Tx_Count_30D]]&lt;=30,7,tbl_Data2[[#This Row],[Tx_Count_30D]]&gt;30,9)</f>
        <v>9</v>
      </c>
      <c r="M137" cm="1">
        <f t="array" ref="M137">_xlfn.IFS(
tbl_Data2[[#This Row],[Total_Amount_30D]]&lt;10000,2,
tbl_Data2[[#This Row],[Total_Amount_30D]]&lt;25000,5,
tbl_Data2[[#This Row],[Total_Amount_30D]]&lt;50000,7,
tbl_Data2[[#This Row],[Total_Amount_30D]]&gt;=50000,9
)</f>
        <v>2</v>
      </c>
      <c r="N137" cm="1">
        <f t="array" ref="N137">_xlfn.IFS(
tbl_Data2[[#This Row],[Amount_Deviation]]&lt;1.5,2,
tbl_Data2[[#This Row],[Amount_Deviation]]&lt;3,6,
tbl_Data2[[#This Row],[Amount_Deviation]]&lt;6,8,
tbl_Data2[[#This Row],[Amount_Deviation]]&gt;=6,10
)</f>
        <v>2</v>
      </c>
      <c r="O137">
        <f>ROUND(
    (tbl_Data2[[#This Row],[Geo_Score]]*0.2) +
    (tbl_Data2[[#This Row],[Velocity_Score]]*0.25) +
    (tbl_Data2[[#This Row],[Volume_Score]]*0.25) +
    (tbl_Data2[[#This Row],[Deviation_Score]]*0.3),
1
)</f>
        <v>5.2</v>
      </c>
      <c r="P137" t="str" cm="1">
        <f t="array" ref="P137">_xlfn.IFS(
tbl_Data2[[#This Row],[Final_Risk_Score]]&lt;5.5,"Low",
tbl_Data2[[#This Row],[Final_Risk_Score]]&lt;7.5,"Medium",
tbl_Data2[[#This Row],[Final_Risk_Score]]&gt;=7.5,"High"
)</f>
        <v>Low</v>
      </c>
      <c r="Q137" t="str" cm="1">
        <f t="array" ref="Q137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138" spans="1:17" hidden="1">
      <c r="A138" t="str">
        <f>tbl_data[[#This Row],[Customer_ID]]</f>
        <v>CUST-137</v>
      </c>
      <c r="B138" t="str">
        <f>tbl_data[[#This Row],[Customer_Type]]</f>
        <v>Business</v>
      </c>
      <c r="C138" t="str">
        <f>tbl_data[[#This Row],[Country]]</f>
        <v>Panama</v>
      </c>
      <c r="D138" t="str">
        <f>tbl_data[[#This Row],[Industry]]</f>
        <v>Manufacturing</v>
      </c>
      <c r="E138">
        <f>tbl_data[[#This Row],[Tx_Count_30D]]</f>
        <v>51</v>
      </c>
      <c r="F138">
        <f>tbl_data[[#This Row],[Total_Amount_30D]]</f>
        <v>118396</v>
      </c>
      <c r="G138">
        <f>tbl_data[[#This Row],[Avg_Tx_Count_6M]]</f>
        <v>28</v>
      </c>
      <c r="H138">
        <f>tbl_data[[#This Row],[Avg_Total_Amount_6M]]</f>
        <v>54672</v>
      </c>
      <c r="I138">
        <f>IFERROR(tbl_Data2[[#This Row],[Tx_Count_30D]]/tbl_Data2[[#This Row],[Avg_Tx_Count_6M]],0)</f>
        <v>1.8214285714285714</v>
      </c>
      <c r="J138">
        <f>IFERROR(tbl_Data2[[#This Row],[Total_Amount_30D]]/tbl_Data2[[#This Row],[Avg_Total_Amount_6M]],0)</f>
        <v>2.1655692127597308</v>
      </c>
      <c r="K138">
        <f>_xlfn.XLOOKUP(tbl_Data2[[#This Row],[Country]], Geo_Map[Country], Geo_Map[Score], 5)</f>
        <v>8</v>
      </c>
      <c r="L138" cm="1">
        <f t="array" ref="L138">_xlfn.IFS(tbl_Data2[[#This Row],[Tx_Count_30D]]&lt;=5,2,tbl_Data2[[#This Row],[Tx_Count_30D]]&lt;=15,5,tbl_Data2[[#This Row],[Tx_Count_30D]]&lt;=30,7,tbl_Data2[[#This Row],[Tx_Count_30D]]&gt;30,9)</f>
        <v>9</v>
      </c>
      <c r="M138" cm="1">
        <f t="array" ref="M138">_xlfn.IFS(
tbl_Data2[[#This Row],[Total_Amount_30D]]&lt;10000,2,
tbl_Data2[[#This Row],[Total_Amount_30D]]&lt;25000,5,
tbl_Data2[[#This Row],[Total_Amount_30D]]&lt;50000,7,
tbl_Data2[[#This Row],[Total_Amount_30D]]&gt;=50000,9
)</f>
        <v>9</v>
      </c>
      <c r="N138" cm="1">
        <f t="array" ref="N138">_xlfn.IFS(
tbl_Data2[[#This Row],[Amount_Deviation]]&lt;1.5,2,
tbl_Data2[[#This Row],[Amount_Deviation]]&lt;3,6,
tbl_Data2[[#This Row],[Amount_Deviation]]&lt;6,8,
tbl_Data2[[#This Row],[Amount_Deviation]]&gt;=6,10
)</f>
        <v>6</v>
      </c>
      <c r="O138">
        <f>ROUND(
    (tbl_Data2[[#This Row],[Geo_Score]]*0.2) +
    (tbl_Data2[[#This Row],[Velocity_Score]]*0.25) +
    (tbl_Data2[[#This Row],[Volume_Score]]*0.25) +
    (tbl_Data2[[#This Row],[Deviation_Score]]*0.3),
1
)</f>
        <v>7.9</v>
      </c>
      <c r="P138" t="str" cm="1">
        <f t="array" ref="P138">_xlfn.IFS(
tbl_Data2[[#This Row],[Final_Risk_Score]]&lt;5.5,"Low",
tbl_Data2[[#This Row],[Final_Risk_Score]]&lt;7.5,"Medium",
tbl_Data2[[#This Row],[Final_Risk_Score]]&gt;=7.5,"High"
)</f>
        <v>High</v>
      </c>
      <c r="Q138" t="str" cm="1">
        <f t="array" ref="Q138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139" spans="1:17">
      <c r="A139" t="str">
        <f>tbl_data[[#This Row],[Customer_ID]]</f>
        <v>CUST-138</v>
      </c>
      <c r="B139" t="str">
        <f>tbl_data[[#This Row],[Customer_Type]]</f>
        <v>Business</v>
      </c>
      <c r="C139" t="str">
        <f>tbl_data[[#This Row],[Country]]</f>
        <v>BVI</v>
      </c>
      <c r="D139" t="str">
        <f>tbl_data[[#This Row],[Industry]]</f>
        <v>Trading</v>
      </c>
      <c r="E139">
        <f>tbl_data[[#This Row],[Tx_Count_30D]]</f>
        <v>49</v>
      </c>
      <c r="F139">
        <f>tbl_data[[#This Row],[Total_Amount_30D]]</f>
        <v>7496</v>
      </c>
      <c r="G139">
        <f>tbl_data[[#This Row],[Avg_Tx_Count_6M]]</f>
        <v>16</v>
      </c>
      <c r="H139">
        <f>tbl_data[[#This Row],[Avg_Total_Amount_6M]]</f>
        <v>2691</v>
      </c>
      <c r="I139">
        <f>IFERROR(tbl_Data2[[#This Row],[Tx_Count_30D]]/tbl_Data2[[#This Row],[Avg_Tx_Count_6M]],0)</f>
        <v>3.0625</v>
      </c>
      <c r="J139">
        <f>IFERROR(tbl_Data2[[#This Row],[Total_Amount_30D]]/tbl_Data2[[#This Row],[Avg_Total_Amount_6M]],0)</f>
        <v>2.7855815681902638</v>
      </c>
      <c r="K139">
        <f>_xlfn.XLOOKUP(tbl_Data2[[#This Row],[Country]], Geo_Map[Country], Geo_Map[Score], 5)</f>
        <v>9</v>
      </c>
      <c r="L139" cm="1">
        <f t="array" ref="L139">_xlfn.IFS(tbl_Data2[[#This Row],[Tx_Count_30D]]&lt;=5,2,tbl_Data2[[#This Row],[Tx_Count_30D]]&lt;=15,5,tbl_Data2[[#This Row],[Tx_Count_30D]]&lt;=30,7,tbl_Data2[[#This Row],[Tx_Count_30D]]&gt;30,9)</f>
        <v>9</v>
      </c>
      <c r="M139" cm="1">
        <f t="array" ref="M139">_xlfn.IFS(
tbl_Data2[[#This Row],[Total_Amount_30D]]&lt;10000,2,
tbl_Data2[[#This Row],[Total_Amount_30D]]&lt;25000,5,
tbl_Data2[[#This Row],[Total_Amount_30D]]&lt;50000,7,
tbl_Data2[[#This Row],[Total_Amount_30D]]&gt;=50000,9
)</f>
        <v>2</v>
      </c>
      <c r="N139" cm="1">
        <f t="array" ref="N139">_xlfn.IFS(
tbl_Data2[[#This Row],[Amount_Deviation]]&lt;1.5,2,
tbl_Data2[[#This Row],[Amount_Deviation]]&lt;3,6,
tbl_Data2[[#This Row],[Amount_Deviation]]&lt;6,8,
tbl_Data2[[#This Row],[Amount_Deviation]]&gt;=6,10
)</f>
        <v>6</v>
      </c>
      <c r="O139">
        <f>ROUND(
    (tbl_Data2[[#This Row],[Geo_Score]]*0.2) +
    (tbl_Data2[[#This Row],[Velocity_Score]]*0.25) +
    (tbl_Data2[[#This Row],[Volume_Score]]*0.25) +
    (tbl_Data2[[#This Row],[Deviation_Score]]*0.3),
1
)</f>
        <v>6.4</v>
      </c>
      <c r="P139" t="str" cm="1">
        <f t="array" ref="P139">_xlfn.IFS(
tbl_Data2[[#This Row],[Final_Risk_Score]]&lt;5.5,"Low",
tbl_Data2[[#This Row],[Final_Risk_Score]]&lt;7.5,"Medium",
tbl_Data2[[#This Row],[Final_Risk_Score]]&gt;=7.5,"High"
)</f>
        <v>Medium</v>
      </c>
      <c r="Q139" t="str" cm="1">
        <f t="array" ref="Q139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40" spans="1:17" hidden="1">
      <c r="A140" t="str">
        <f>tbl_data[[#This Row],[Customer_ID]]</f>
        <v>CUST-139</v>
      </c>
      <c r="B140" t="str">
        <f>tbl_data[[#This Row],[Customer_Type]]</f>
        <v>Business</v>
      </c>
      <c r="C140" t="str">
        <f>tbl_data[[#This Row],[Country]]</f>
        <v>UAE</v>
      </c>
      <c r="D140" t="str">
        <f>tbl_data[[#This Row],[Industry]]</f>
        <v>Logistics</v>
      </c>
      <c r="E140">
        <f>tbl_data[[#This Row],[Tx_Count_30D]]</f>
        <v>31</v>
      </c>
      <c r="F140">
        <f>tbl_data[[#This Row],[Total_Amount_30D]]</f>
        <v>63881</v>
      </c>
      <c r="G140">
        <f>tbl_data[[#This Row],[Avg_Tx_Count_6M]]</f>
        <v>19</v>
      </c>
      <c r="H140">
        <f>tbl_data[[#This Row],[Avg_Total_Amount_6M]]</f>
        <v>2717</v>
      </c>
      <c r="I140">
        <f>IFERROR(tbl_Data2[[#This Row],[Tx_Count_30D]]/tbl_Data2[[#This Row],[Avg_Tx_Count_6M]],0)</f>
        <v>1.631578947368421</v>
      </c>
      <c r="J140">
        <f>IFERROR(tbl_Data2[[#This Row],[Total_Amount_30D]]/tbl_Data2[[#This Row],[Avg_Total_Amount_6M]],0)</f>
        <v>23.511593669488406</v>
      </c>
      <c r="K140">
        <f>_xlfn.XLOOKUP(tbl_Data2[[#This Row],[Country]], Geo_Map[Country], Geo_Map[Score], 5)</f>
        <v>6</v>
      </c>
      <c r="L140" cm="1">
        <f t="array" ref="L140">_xlfn.IFS(tbl_Data2[[#This Row],[Tx_Count_30D]]&lt;=5,2,tbl_Data2[[#This Row],[Tx_Count_30D]]&lt;=15,5,tbl_Data2[[#This Row],[Tx_Count_30D]]&lt;=30,7,tbl_Data2[[#This Row],[Tx_Count_30D]]&gt;30,9)</f>
        <v>9</v>
      </c>
      <c r="M140" cm="1">
        <f t="array" ref="M140">_xlfn.IFS(
tbl_Data2[[#This Row],[Total_Amount_30D]]&lt;10000,2,
tbl_Data2[[#This Row],[Total_Amount_30D]]&lt;25000,5,
tbl_Data2[[#This Row],[Total_Amount_30D]]&lt;50000,7,
tbl_Data2[[#This Row],[Total_Amount_30D]]&gt;=50000,9
)</f>
        <v>9</v>
      </c>
      <c r="N140" cm="1">
        <f t="array" ref="N140">_xlfn.IFS(
tbl_Data2[[#This Row],[Amount_Deviation]]&lt;1.5,2,
tbl_Data2[[#This Row],[Amount_Deviation]]&lt;3,6,
tbl_Data2[[#This Row],[Amount_Deviation]]&lt;6,8,
tbl_Data2[[#This Row],[Amount_Deviation]]&gt;=6,10
)</f>
        <v>10</v>
      </c>
      <c r="O140">
        <f>ROUND(
    (tbl_Data2[[#This Row],[Geo_Score]]*0.2) +
    (tbl_Data2[[#This Row],[Velocity_Score]]*0.25) +
    (tbl_Data2[[#This Row],[Volume_Score]]*0.25) +
    (tbl_Data2[[#This Row],[Deviation_Score]]*0.3),
1
)</f>
        <v>8.6999999999999993</v>
      </c>
      <c r="P140" t="str" cm="1">
        <f t="array" ref="P140">_xlfn.IFS(
tbl_Data2[[#This Row],[Final_Risk_Score]]&lt;5.5,"Low",
tbl_Data2[[#This Row],[Final_Risk_Score]]&lt;7.5,"Medium",
tbl_Data2[[#This Row],[Final_Risk_Score]]&gt;=7.5,"High"
)</f>
        <v>High</v>
      </c>
      <c r="Q140" t="str" cm="1">
        <f t="array" ref="Q140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141" spans="1:17" hidden="1">
      <c r="A141" t="str">
        <f>tbl_data[[#This Row],[Customer_ID]]</f>
        <v>CUST-140</v>
      </c>
      <c r="B141" t="str">
        <f>tbl_data[[#This Row],[Customer_Type]]</f>
        <v>Business</v>
      </c>
      <c r="C141" t="str">
        <f>tbl_data[[#This Row],[Country]]</f>
        <v>Hong Kong</v>
      </c>
      <c r="D141" t="str">
        <f>tbl_data[[#This Row],[Industry]]</f>
        <v>Consulting</v>
      </c>
      <c r="E141">
        <f>tbl_data[[#This Row],[Tx_Count_30D]]</f>
        <v>57</v>
      </c>
      <c r="F141">
        <f>tbl_data[[#This Row],[Total_Amount_30D]]</f>
        <v>32581</v>
      </c>
      <c r="G141">
        <f>tbl_data[[#This Row],[Avg_Tx_Count_6M]]</f>
        <v>28</v>
      </c>
      <c r="H141">
        <f>tbl_data[[#This Row],[Avg_Total_Amount_6M]]</f>
        <v>5587</v>
      </c>
      <c r="I141">
        <f>IFERROR(tbl_Data2[[#This Row],[Tx_Count_30D]]/tbl_Data2[[#This Row],[Avg_Tx_Count_6M]],0)</f>
        <v>2.0357142857142856</v>
      </c>
      <c r="J141">
        <f>IFERROR(tbl_Data2[[#This Row],[Total_Amount_30D]]/tbl_Data2[[#This Row],[Avg_Total_Amount_6M]],0)</f>
        <v>5.8315732951494539</v>
      </c>
      <c r="K141">
        <f>_xlfn.XLOOKUP(tbl_Data2[[#This Row],[Country]], Geo_Map[Country], Geo_Map[Score], 5)</f>
        <v>6</v>
      </c>
      <c r="L141" cm="1">
        <f t="array" ref="L141">_xlfn.IFS(tbl_Data2[[#This Row],[Tx_Count_30D]]&lt;=5,2,tbl_Data2[[#This Row],[Tx_Count_30D]]&lt;=15,5,tbl_Data2[[#This Row],[Tx_Count_30D]]&lt;=30,7,tbl_Data2[[#This Row],[Tx_Count_30D]]&gt;30,9)</f>
        <v>9</v>
      </c>
      <c r="M141" cm="1">
        <f t="array" ref="M141">_xlfn.IFS(
tbl_Data2[[#This Row],[Total_Amount_30D]]&lt;10000,2,
tbl_Data2[[#This Row],[Total_Amount_30D]]&lt;25000,5,
tbl_Data2[[#This Row],[Total_Amount_30D]]&lt;50000,7,
tbl_Data2[[#This Row],[Total_Amount_30D]]&gt;=50000,9
)</f>
        <v>7</v>
      </c>
      <c r="N141" cm="1">
        <f t="array" ref="N141">_xlfn.IFS(
tbl_Data2[[#This Row],[Amount_Deviation]]&lt;1.5,2,
tbl_Data2[[#This Row],[Amount_Deviation]]&lt;3,6,
tbl_Data2[[#This Row],[Amount_Deviation]]&lt;6,8,
tbl_Data2[[#This Row],[Amount_Deviation]]&gt;=6,10
)</f>
        <v>8</v>
      </c>
      <c r="O141">
        <f>ROUND(
    (tbl_Data2[[#This Row],[Geo_Score]]*0.2) +
    (tbl_Data2[[#This Row],[Velocity_Score]]*0.25) +
    (tbl_Data2[[#This Row],[Volume_Score]]*0.25) +
    (tbl_Data2[[#This Row],[Deviation_Score]]*0.3),
1
)</f>
        <v>7.6</v>
      </c>
      <c r="P141" t="str" cm="1">
        <f t="array" ref="P141">_xlfn.IFS(
tbl_Data2[[#This Row],[Final_Risk_Score]]&lt;5.5,"Low",
tbl_Data2[[#This Row],[Final_Risk_Score]]&lt;7.5,"Medium",
tbl_Data2[[#This Row],[Final_Risk_Score]]&gt;=7.5,"High"
)</f>
        <v>High</v>
      </c>
      <c r="Q141" t="str" cm="1">
        <f t="array" ref="Q141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142" spans="1:17" hidden="1">
      <c r="A142" t="str">
        <f>tbl_data[[#This Row],[Customer_ID]]</f>
        <v>CUST-141</v>
      </c>
      <c r="B142" t="str">
        <f>tbl_data[[#This Row],[Customer_Type]]</f>
        <v>Business</v>
      </c>
      <c r="C142" t="str">
        <f>tbl_data[[#This Row],[Country]]</f>
        <v>USA</v>
      </c>
      <c r="D142" t="str">
        <f>tbl_data[[#This Row],[Industry]]</f>
        <v>Import/Export</v>
      </c>
      <c r="E142">
        <f>tbl_data[[#This Row],[Tx_Count_30D]]</f>
        <v>27</v>
      </c>
      <c r="F142">
        <f>tbl_data[[#This Row],[Total_Amount_30D]]</f>
        <v>4481</v>
      </c>
      <c r="G142">
        <f>tbl_data[[#This Row],[Avg_Tx_Count_6M]]</f>
        <v>30</v>
      </c>
      <c r="H142">
        <f>tbl_data[[#This Row],[Avg_Total_Amount_6M]]</f>
        <v>50123</v>
      </c>
      <c r="I142">
        <f>IFERROR(tbl_Data2[[#This Row],[Tx_Count_30D]]/tbl_Data2[[#This Row],[Avg_Tx_Count_6M]],0)</f>
        <v>0.9</v>
      </c>
      <c r="J142">
        <f>IFERROR(tbl_Data2[[#This Row],[Total_Amount_30D]]/tbl_Data2[[#This Row],[Avg_Total_Amount_6M]],0)</f>
        <v>8.9400075813498792E-2</v>
      </c>
      <c r="K142">
        <f>_xlfn.XLOOKUP(tbl_Data2[[#This Row],[Country]], Geo_Map[Country], Geo_Map[Score], 5)</f>
        <v>1</v>
      </c>
      <c r="L142" cm="1">
        <f t="array" ref="L142">_xlfn.IFS(tbl_Data2[[#This Row],[Tx_Count_30D]]&lt;=5,2,tbl_Data2[[#This Row],[Tx_Count_30D]]&lt;=15,5,tbl_Data2[[#This Row],[Tx_Count_30D]]&lt;=30,7,tbl_Data2[[#This Row],[Tx_Count_30D]]&gt;30,9)</f>
        <v>7</v>
      </c>
      <c r="M142" cm="1">
        <f t="array" ref="M142">_xlfn.IFS(
tbl_Data2[[#This Row],[Total_Amount_30D]]&lt;10000,2,
tbl_Data2[[#This Row],[Total_Amount_30D]]&lt;25000,5,
tbl_Data2[[#This Row],[Total_Amount_30D]]&lt;50000,7,
tbl_Data2[[#This Row],[Total_Amount_30D]]&gt;=50000,9
)</f>
        <v>2</v>
      </c>
      <c r="N142" cm="1">
        <f t="array" ref="N142">_xlfn.IFS(
tbl_Data2[[#This Row],[Amount_Deviation]]&lt;1.5,2,
tbl_Data2[[#This Row],[Amount_Deviation]]&lt;3,6,
tbl_Data2[[#This Row],[Amount_Deviation]]&lt;6,8,
tbl_Data2[[#This Row],[Amount_Deviation]]&gt;=6,10
)</f>
        <v>2</v>
      </c>
      <c r="O142">
        <f>ROUND(
    (tbl_Data2[[#This Row],[Geo_Score]]*0.2) +
    (tbl_Data2[[#This Row],[Velocity_Score]]*0.25) +
    (tbl_Data2[[#This Row],[Volume_Score]]*0.25) +
    (tbl_Data2[[#This Row],[Deviation_Score]]*0.3),
1
)</f>
        <v>3.1</v>
      </c>
      <c r="P142" t="str" cm="1">
        <f t="array" ref="P142">_xlfn.IFS(
tbl_Data2[[#This Row],[Final_Risk_Score]]&lt;5.5,"Low",
tbl_Data2[[#This Row],[Final_Risk_Score]]&lt;7.5,"Medium",
tbl_Data2[[#This Row],[Final_Risk_Score]]&gt;=7.5,"High"
)</f>
        <v>Low</v>
      </c>
      <c r="Q142" t="str" cm="1">
        <f t="array" ref="Q142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143" spans="1:17">
      <c r="A143" t="str">
        <f>tbl_data[[#This Row],[Customer_ID]]</f>
        <v>CUST-142</v>
      </c>
      <c r="B143" t="str">
        <f>tbl_data[[#This Row],[Customer_Type]]</f>
        <v>Business</v>
      </c>
      <c r="C143" t="str">
        <f>tbl_data[[#This Row],[Country]]</f>
        <v>BVI</v>
      </c>
      <c r="D143" t="str">
        <f>tbl_data[[#This Row],[Industry]]</f>
        <v>Manufacturing</v>
      </c>
      <c r="E143">
        <f>tbl_data[[#This Row],[Tx_Count_30D]]</f>
        <v>16</v>
      </c>
      <c r="F143">
        <f>tbl_data[[#This Row],[Total_Amount_30D]]</f>
        <v>25702</v>
      </c>
      <c r="G143">
        <f>tbl_data[[#This Row],[Avg_Tx_Count_6M]]</f>
        <v>21</v>
      </c>
      <c r="H143">
        <f>tbl_data[[#This Row],[Avg_Total_Amount_6M]]</f>
        <v>57772</v>
      </c>
      <c r="I143">
        <f>IFERROR(tbl_Data2[[#This Row],[Tx_Count_30D]]/tbl_Data2[[#This Row],[Avg_Tx_Count_6M]],0)</f>
        <v>0.76190476190476186</v>
      </c>
      <c r="J143">
        <f>IFERROR(tbl_Data2[[#This Row],[Total_Amount_30D]]/tbl_Data2[[#This Row],[Avg_Total_Amount_6M]],0)</f>
        <v>0.44488679637194489</v>
      </c>
      <c r="K143">
        <f>_xlfn.XLOOKUP(tbl_Data2[[#This Row],[Country]], Geo_Map[Country], Geo_Map[Score], 5)</f>
        <v>9</v>
      </c>
      <c r="L143" cm="1">
        <f t="array" ref="L143">_xlfn.IFS(tbl_Data2[[#This Row],[Tx_Count_30D]]&lt;=5,2,tbl_Data2[[#This Row],[Tx_Count_30D]]&lt;=15,5,tbl_Data2[[#This Row],[Tx_Count_30D]]&lt;=30,7,tbl_Data2[[#This Row],[Tx_Count_30D]]&gt;30,9)</f>
        <v>7</v>
      </c>
      <c r="M143" cm="1">
        <f t="array" ref="M143">_xlfn.IFS(
tbl_Data2[[#This Row],[Total_Amount_30D]]&lt;10000,2,
tbl_Data2[[#This Row],[Total_Amount_30D]]&lt;25000,5,
tbl_Data2[[#This Row],[Total_Amount_30D]]&lt;50000,7,
tbl_Data2[[#This Row],[Total_Amount_30D]]&gt;=50000,9
)</f>
        <v>7</v>
      </c>
      <c r="N143" cm="1">
        <f t="array" ref="N143">_xlfn.IFS(
tbl_Data2[[#This Row],[Amount_Deviation]]&lt;1.5,2,
tbl_Data2[[#This Row],[Amount_Deviation]]&lt;3,6,
tbl_Data2[[#This Row],[Amount_Deviation]]&lt;6,8,
tbl_Data2[[#This Row],[Amount_Deviation]]&gt;=6,10
)</f>
        <v>2</v>
      </c>
      <c r="O143">
        <f>ROUND(
    (tbl_Data2[[#This Row],[Geo_Score]]*0.2) +
    (tbl_Data2[[#This Row],[Velocity_Score]]*0.25) +
    (tbl_Data2[[#This Row],[Volume_Score]]*0.25) +
    (tbl_Data2[[#This Row],[Deviation_Score]]*0.3),
1
)</f>
        <v>5.9</v>
      </c>
      <c r="P143" t="str" cm="1">
        <f t="array" ref="P143">_xlfn.IFS(
tbl_Data2[[#This Row],[Final_Risk_Score]]&lt;5.5,"Low",
tbl_Data2[[#This Row],[Final_Risk_Score]]&lt;7.5,"Medium",
tbl_Data2[[#This Row],[Final_Risk_Score]]&gt;=7.5,"High"
)</f>
        <v>Medium</v>
      </c>
      <c r="Q143" t="str" cm="1">
        <f t="array" ref="Q143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44" spans="1:17">
      <c r="A144" t="str">
        <f>tbl_data[[#This Row],[Customer_ID]]</f>
        <v>CUST-143</v>
      </c>
      <c r="B144" t="str">
        <f>tbl_data[[#This Row],[Customer_Type]]</f>
        <v>Business</v>
      </c>
      <c r="C144" t="str">
        <f>tbl_data[[#This Row],[Country]]</f>
        <v>Panama</v>
      </c>
      <c r="D144" t="str">
        <f>tbl_data[[#This Row],[Industry]]</f>
        <v>Manufacturing</v>
      </c>
      <c r="E144">
        <f>tbl_data[[#This Row],[Tx_Count_30D]]</f>
        <v>18</v>
      </c>
      <c r="F144">
        <f>tbl_data[[#This Row],[Total_Amount_30D]]</f>
        <v>13175</v>
      </c>
      <c r="G144">
        <f>tbl_data[[#This Row],[Avg_Tx_Count_6M]]</f>
        <v>5</v>
      </c>
      <c r="H144">
        <f>tbl_data[[#This Row],[Avg_Total_Amount_6M]]</f>
        <v>5916</v>
      </c>
      <c r="I144">
        <f>IFERROR(tbl_Data2[[#This Row],[Tx_Count_30D]]/tbl_Data2[[#This Row],[Avg_Tx_Count_6M]],0)</f>
        <v>3.6</v>
      </c>
      <c r="J144">
        <f>IFERROR(tbl_Data2[[#This Row],[Total_Amount_30D]]/tbl_Data2[[#This Row],[Avg_Total_Amount_6M]],0)</f>
        <v>2.2270114942528734</v>
      </c>
      <c r="K144">
        <f>_xlfn.XLOOKUP(tbl_Data2[[#This Row],[Country]], Geo_Map[Country], Geo_Map[Score], 5)</f>
        <v>8</v>
      </c>
      <c r="L144" cm="1">
        <f t="array" ref="L144">_xlfn.IFS(tbl_Data2[[#This Row],[Tx_Count_30D]]&lt;=5,2,tbl_Data2[[#This Row],[Tx_Count_30D]]&lt;=15,5,tbl_Data2[[#This Row],[Tx_Count_30D]]&lt;=30,7,tbl_Data2[[#This Row],[Tx_Count_30D]]&gt;30,9)</f>
        <v>7</v>
      </c>
      <c r="M144" cm="1">
        <f t="array" ref="M144">_xlfn.IFS(
tbl_Data2[[#This Row],[Total_Amount_30D]]&lt;10000,2,
tbl_Data2[[#This Row],[Total_Amount_30D]]&lt;25000,5,
tbl_Data2[[#This Row],[Total_Amount_30D]]&lt;50000,7,
tbl_Data2[[#This Row],[Total_Amount_30D]]&gt;=50000,9
)</f>
        <v>5</v>
      </c>
      <c r="N144" cm="1">
        <f t="array" ref="N144">_xlfn.IFS(
tbl_Data2[[#This Row],[Amount_Deviation]]&lt;1.5,2,
tbl_Data2[[#This Row],[Amount_Deviation]]&lt;3,6,
tbl_Data2[[#This Row],[Amount_Deviation]]&lt;6,8,
tbl_Data2[[#This Row],[Amount_Deviation]]&gt;=6,10
)</f>
        <v>6</v>
      </c>
      <c r="O144">
        <f>ROUND(
    (tbl_Data2[[#This Row],[Geo_Score]]*0.2) +
    (tbl_Data2[[#This Row],[Velocity_Score]]*0.25) +
    (tbl_Data2[[#This Row],[Volume_Score]]*0.25) +
    (tbl_Data2[[#This Row],[Deviation_Score]]*0.3),
1
)</f>
        <v>6.4</v>
      </c>
      <c r="P144" t="str" cm="1">
        <f t="array" ref="P144">_xlfn.IFS(
tbl_Data2[[#This Row],[Final_Risk_Score]]&lt;5.5,"Low",
tbl_Data2[[#This Row],[Final_Risk_Score]]&lt;7.5,"Medium",
tbl_Data2[[#This Row],[Final_Risk_Score]]&gt;=7.5,"High"
)</f>
        <v>Medium</v>
      </c>
      <c r="Q144" t="str" cm="1">
        <f t="array" ref="Q144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45" spans="1:17" hidden="1">
      <c r="A145" t="str">
        <f>tbl_data[[#This Row],[Customer_ID]]</f>
        <v>CUST-144</v>
      </c>
      <c r="B145" t="str">
        <f>tbl_data[[#This Row],[Customer_Type]]</f>
        <v>Business</v>
      </c>
      <c r="C145" t="str">
        <f>tbl_data[[#This Row],[Country]]</f>
        <v>USA</v>
      </c>
      <c r="D145" t="str">
        <f>tbl_data[[#This Row],[Industry]]</f>
        <v>Consulting</v>
      </c>
      <c r="E145">
        <f>tbl_data[[#This Row],[Tx_Count_30D]]</f>
        <v>46</v>
      </c>
      <c r="F145">
        <f>tbl_data[[#This Row],[Total_Amount_30D]]</f>
        <v>52233</v>
      </c>
      <c r="G145">
        <f>tbl_data[[#This Row],[Avg_Tx_Count_6M]]</f>
        <v>31</v>
      </c>
      <c r="H145">
        <f>tbl_data[[#This Row],[Avg_Total_Amount_6M]]</f>
        <v>63996</v>
      </c>
      <c r="I145">
        <f>IFERROR(tbl_Data2[[#This Row],[Tx_Count_30D]]/tbl_Data2[[#This Row],[Avg_Tx_Count_6M]],0)</f>
        <v>1.4838709677419355</v>
      </c>
      <c r="J145">
        <f>IFERROR(tbl_Data2[[#This Row],[Total_Amount_30D]]/tbl_Data2[[#This Row],[Avg_Total_Amount_6M]],0)</f>
        <v>0.81619163697731112</v>
      </c>
      <c r="K145">
        <f>_xlfn.XLOOKUP(tbl_Data2[[#This Row],[Country]], Geo_Map[Country], Geo_Map[Score], 5)</f>
        <v>1</v>
      </c>
      <c r="L145" cm="1">
        <f t="array" ref="L145">_xlfn.IFS(tbl_Data2[[#This Row],[Tx_Count_30D]]&lt;=5,2,tbl_Data2[[#This Row],[Tx_Count_30D]]&lt;=15,5,tbl_Data2[[#This Row],[Tx_Count_30D]]&lt;=30,7,tbl_Data2[[#This Row],[Tx_Count_30D]]&gt;30,9)</f>
        <v>9</v>
      </c>
      <c r="M145" cm="1">
        <f t="array" ref="M145">_xlfn.IFS(
tbl_Data2[[#This Row],[Total_Amount_30D]]&lt;10000,2,
tbl_Data2[[#This Row],[Total_Amount_30D]]&lt;25000,5,
tbl_Data2[[#This Row],[Total_Amount_30D]]&lt;50000,7,
tbl_Data2[[#This Row],[Total_Amount_30D]]&gt;=50000,9
)</f>
        <v>9</v>
      </c>
      <c r="N145" cm="1">
        <f t="array" ref="N145">_xlfn.IFS(
tbl_Data2[[#This Row],[Amount_Deviation]]&lt;1.5,2,
tbl_Data2[[#This Row],[Amount_Deviation]]&lt;3,6,
tbl_Data2[[#This Row],[Amount_Deviation]]&lt;6,8,
tbl_Data2[[#This Row],[Amount_Deviation]]&gt;=6,10
)</f>
        <v>2</v>
      </c>
      <c r="O145">
        <f>ROUND(
    (tbl_Data2[[#This Row],[Geo_Score]]*0.2) +
    (tbl_Data2[[#This Row],[Velocity_Score]]*0.25) +
    (tbl_Data2[[#This Row],[Volume_Score]]*0.25) +
    (tbl_Data2[[#This Row],[Deviation_Score]]*0.3),
1
)</f>
        <v>5.3</v>
      </c>
      <c r="P145" t="str" cm="1">
        <f t="array" ref="P145">_xlfn.IFS(
tbl_Data2[[#This Row],[Final_Risk_Score]]&lt;5.5,"Low",
tbl_Data2[[#This Row],[Final_Risk_Score]]&lt;7.5,"Medium",
tbl_Data2[[#This Row],[Final_Risk_Score]]&gt;=7.5,"High"
)</f>
        <v>Low</v>
      </c>
      <c r="Q145" t="str" cm="1">
        <f t="array" ref="Q145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146" spans="1:17" hidden="1">
      <c r="A146" t="str">
        <f>tbl_data[[#This Row],[Customer_ID]]</f>
        <v>CUST-145</v>
      </c>
      <c r="B146" t="str">
        <f>tbl_data[[#This Row],[Customer_Type]]</f>
        <v>Business</v>
      </c>
      <c r="C146" t="str">
        <f>tbl_data[[#This Row],[Country]]</f>
        <v>BVI</v>
      </c>
      <c r="D146" t="str">
        <f>tbl_data[[#This Row],[Industry]]</f>
        <v>IT Services</v>
      </c>
      <c r="E146">
        <f>tbl_data[[#This Row],[Tx_Count_30D]]</f>
        <v>44</v>
      </c>
      <c r="F146">
        <f>tbl_data[[#This Row],[Total_Amount_30D]]</f>
        <v>69435</v>
      </c>
      <c r="G146">
        <f>tbl_data[[#This Row],[Avg_Tx_Count_6M]]</f>
        <v>20</v>
      </c>
      <c r="H146">
        <f>tbl_data[[#This Row],[Avg_Total_Amount_6M]]</f>
        <v>31153</v>
      </c>
      <c r="I146">
        <f>IFERROR(tbl_Data2[[#This Row],[Tx_Count_30D]]/tbl_Data2[[#This Row],[Avg_Tx_Count_6M]],0)</f>
        <v>2.2000000000000002</v>
      </c>
      <c r="J146">
        <f>IFERROR(tbl_Data2[[#This Row],[Total_Amount_30D]]/tbl_Data2[[#This Row],[Avg_Total_Amount_6M]],0)</f>
        <v>2.2288383141270502</v>
      </c>
      <c r="K146">
        <f>_xlfn.XLOOKUP(tbl_Data2[[#This Row],[Country]], Geo_Map[Country], Geo_Map[Score], 5)</f>
        <v>9</v>
      </c>
      <c r="L146" cm="1">
        <f t="array" ref="L146">_xlfn.IFS(tbl_Data2[[#This Row],[Tx_Count_30D]]&lt;=5,2,tbl_Data2[[#This Row],[Tx_Count_30D]]&lt;=15,5,tbl_Data2[[#This Row],[Tx_Count_30D]]&lt;=30,7,tbl_Data2[[#This Row],[Tx_Count_30D]]&gt;30,9)</f>
        <v>9</v>
      </c>
      <c r="M146" cm="1">
        <f t="array" ref="M146">_xlfn.IFS(
tbl_Data2[[#This Row],[Total_Amount_30D]]&lt;10000,2,
tbl_Data2[[#This Row],[Total_Amount_30D]]&lt;25000,5,
tbl_Data2[[#This Row],[Total_Amount_30D]]&lt;50000,7,
tbl_Data2[[#This Row],[Total_Amount_30D]]&gt;=50000,9
)</f>
        <v>9</v>
      </c>
      <c r="N146" cm="1">
        <f t="array" ref="N146">_xlfn.IFS(
tbl_Data2[[#This Row],[Amount_Deviation]]&lt;1.5,2,
tbl_Data2[[#This Row],[Amount_Deviation]]&lt;3,6,
tbl_Data2[[#This Row],[Amount_Deviation]]&lt;6,8,
tbl_Data2[[#This Row],[Amount_Deviation]]&gt;=6,10
)</f>
        <v>6</v>
      </c>
      <c r="O146">
        <f>ROUND(
    (tbl_Data2[[#This Row],[Geo_Score]]*0.2) +
    (tbl_Data2[[#This Row],[Velocity_Score]]*0.25) +
    (tbl_Data2[[#This Row],[Volume_Score]]*0.25) +
    (tbl_Data2[[#This Row],[Deviation_Score]]*0.3),
1
)</f>
        <v>8.1</v>
      </c>
      <c r="P146" t="str" cm="1">
        <f t="array" ref="P146">_xlfn.IFS(
tbl_Data2[[#This Row],[Final_Risk_Score]]&lt;5.5,"Low",
tbl_Data2[[#This Row],[Final_Risk_Score]]&lt;7.5,"Medium",
tbl_Data2[[#This Row],[Final_Risk_Score]]&gt;=7.5,"High"
)</f>
        <v>High</v>
      </c>
      <c r="Q146" t="str" cm="1">
        <f t="array" ref="Q146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147" spans="1:17">
      <c r="A147" t="str">
        <f>tbl_data[[#This Row],[Customer_ID]]</f>
        <v>CUST-146</v>
      </c>
      <c r="B147" t="str">
        <f>tbl_data[[#This Row],[Customer_Type]]</f>
        <v>Business</v>
      </c>
      <c r="C147" t="str">
        <f>tbl_data[[#This Row],[Country]]</f>
        <v>Panama</v>
      </c>
      <c r="D147" t="str">
        <f>tbl_data[[#This Row],[Industry]]</f>
        <v>Manufacturing</v>
      </c>
      <c r="E147">
        <f>tbl_data[[#This Row],[Tx_Count_30D]]</f>
        <v>41</v>
      </c>
      <c r="F147">
        <f>tbl_data[[#This Row],[Total_Amount_30D]]</f>
        <v>15363</v>
      </c>
      <c r="G147">
        <f>tbl_data[[#This Row],[Avg_Tx_Count_6M]]</f>
        <v>38</v>
      </c>
      <c r="H147">
        <f>tbl_data[[#This Row],[Avg_Total_Amount_6M]]</f>
        <v>21917</v>
      </c>
      <c r="I147">
        <f>IFERROR(tbl_Data2[[#This Row],[Tx_Count_30D]]/tbl_Data2[[#This Row],[Avg_Tx_Count_6M]],0)</f>
        <v>1.0789473684210527</v>
      </c>
      <c r="J147">
        <f>IFERROR(tbl_Data2[[#This Row],[Total_Amount_30D]]/tbl_Data2[[#This Row],[Avg_Total_Amount_6M]],0)</f>
        <v>0.70096272300041063</v>
      </c>
      <c r="K147">
        <f>_xlfn.XLOOKUP(tbl_Data2[[#This Row],[Country]], Geo_Map[Country], Geo_Map[Score], 5)</f>
        <v>8</v>
      </c>
      <c r="L147" cm="1">
        <f t="array" ref="L147">_xlfn.IFS(tbl_Data2[[#This Row],[Tx_Count_30D]]&lt;=5,2,tbl_Data2[[#This Row],[Tx_Count_30D]]&lt;=15,5,tbl_Data2[[#This Row],[Tx_Count_30D]]&lt;=30,7,tbl_Data2[[#This Row],[Tx_Count_30D]]&gt;30,9)</f>
        <v>9</v>
      </c>
      <c r="M147" cm="1">
        <f t="array" ref="M147">_xlfn.IFS(
tbl_Data2[[#This Row],[Total_Amount_30D]]&lt;10000,2,
tbl_Data2[[#This Row],[Total_Amount_30D]]&lt;25000,5,
tbl_Data2[[#This Row],[Total_Amount_30D]]&lt;50000,7,
tbl_Data2[[#This Row],[Total_Amount_30D]]&gt;=50000,9
)</f>
        <v>5</v>
      </c>
      <c r="N147" cm="1">
        <f t="array" ref="N147">_xlfn.IFS(
tbl_Data2[[#This Row],[Amount_Deviation]]&lt;1.5,2,
tbl_Data2[[#This Row],[Amount_Deviation]]&lt;3,6,
tbl_Data2[[#This Row],[Amount_Deviation]]&lt;6,8,
tbl_Data2[[#This Row],[Amount_Deviation]]&gt;=6,10
)</f>
        <v>2</v>
      </c>
      <c r="O147">
        <f>ROUND(
    (tbl_Data2[[#This Row],[Geo_Score]]*0.2) +
    (tbl_Data2[[#This Row],[Velocity_Score]]*0.25) +
    (tbl_Data2[[#This Row],[Volume_Score]]*0.25) +
    (tbl_Data2[[#This Row],[Deviation_Score]]*0.3),
1
)</f>
        <v>5.7</v>
      </c>
      <c r="P147" t="str" cm="1">
        <f t="array" ref="P147">_xlfn.IFS(
tbl_Data2[[#This Row],[Final_Risk_Score]]&lt;5.5,"Low",
tbl_Data2[[#This Row],[Final_Risk_Score]]&lt;7.5,"Medium",
tbl_Data2[[#This Row],[Final_Risk_Score]]&gt;=7.5,"High"
)</f>
        <v>Medium</v>
      </c>
      <c r="Q147" t="str" cm="1">
        <f t="array" ref="Q147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48" spans="1:17">
      <c r="A148" t="str">
        <f>tbl_data[[#This Row],[Customer_ID]]</f>
        <v>CUST-147</v>
      </c>
      <c r="B148" t="str">
        <f>tbl_data[[#This Row],[Customer_Type]]</f>
        <v>Business</v>
      </c>
      <c r="C148" t="str">
        <f>tbl_data[[#This Row],[Country]]</f>
        <v>Cyprus</v>
      </c>
      <c r="D148" t="str">
        <f>tbl_data[[#This Row],[Industry]]</f>
        <v>Trading</v>
      </c>
      <c r="E148">
        <f>tbl_data[[#This Row],[Tx_Count_30D]]</f>
        <v>17</v>
      </c>
      <c r="F148">
        <f>tbl_data[[#This Row],[Total_Amount_30D]]</f>
        <v>63218</v>
      </c>
      <c r="G148">
        <f>tbl_data[[#This Row],[Avg_Tx_Count_6M]]</f>
        <v>5</v>
      </c>
      <c r="H148">
        <f>tbl_data[[#This Row],[Avg_Total_Amount_6M]]</f>
        <v>30311</v>
      </c>
      <c r="I148">
        <f>IFERROR(tbl_Data2[[#This Row],[Tx_Count_30D]]/tbl_Data2[[#This Row],[Avg_Tx_Count_6M]],0)</f>
        <v>3.4</v>
      </c>
      <c r="J148">
        <f>IFERROR(tbl_Data2[[#This Row],[Total_Amount_30D]]/tbl_Data2[[#This Row],[Avg_Total_Amount_6M]],0)</f>
        <v>2.0856454752400118</v>
      </c>
      <c r="K148">
        <f>_xlfn.XLOOKUP(tbl_Data2[[#This Row],[Country]], Geo_Map[Country], Geo_Map[Score], 5)</f>
        <v>7</v>
      </c>
      <c r="L148" cm="1">
        <f t="array" ref="L148">_xlfn.IFS(tbl_Data2[[#This Row],[Tx_Count_30D]]&lt;=5,2,tbl_Data2[[#This Row],[Tx_Count_30D]]&lt;=15,5,tbl_Data2[[#This Row],[Tx_Count_30D]]&lt;=30,7,tbl_Data2[[#This Row],[Tx_Count_30D]]&gt;30,9)</f>
        <v>7</v>
      </c>
      <c r="M148" cm="1">
        <f t="array" ref="M148">_xlfn.IFS(
tbl_Data2[[#This Row],[Total_Amount_30D]]&lt;10000,2,
tbl_Data2[[#This Row],[Total_Amount_30D]]&lt;25000,5,
tbl_Data2[[#This Row],[Total_Amount_30D]]&lt;50000,7,
tbl_Data2[[#This Row],[Total_Amount_30D]]&gt;=50000,9
)</f>
        <v>9</v>
      </c>
      <c r="N148" cm="1">
        <f t="array" ref="N148">_xlfn.IFS(
tbl_Data2[[#This Row],[Amount_Deviation]]&lt;1.5,2,
tbl_Data2[[#This Row],[Amount_Deviation]]&lt;3,6,
tbl_Data2[[#This Row],[Amount_Deviation]]&lt;6,8,
tbl_Data2[[#This Row],[Amount_Deviation]]&gt;=6,10
)</f>
        <v>6</v>
      </c>
      <c r="O148">
        <f>ROUND(
    (tbl_Data2[[#This Row],[Geo_Score]]*0.2) +
    (tbl_Data2[[#This Row],[Velocity_Score]]*0.25) +
    (tbl_Data2[[#This Row],[Volume_Score]]*0.25) +
    (tbl_Data2[[#This Row],[Deviation_Score]]*0.3),
1
)</f>
        <v>7.2</v>
      </c>
      <c r="P148" t="str" cm="1">
        <f t="array" ref="P148">_xlfn.IFS(
tbl_Data2[[#This Row],[Final_Risk_Score]]&lt;5.5,"Low",
tbl_Data2[[#This Row],[Final_Risk_Score]]&lt;7.5,"Medium",
tbl_Data2[[#This Row],[Final_Risk_Score]]&gt;=7.5,"High"
)</f>
        <v>Medium</v>
      </c>
      <c r="Q148" t="str" cm="1">
        <f t="array" ref="Q148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49" spans="1:17">
      <c r="A149" t="str">
        <f>tbl_data[[#This Row],[Customer_ID]]</f>
        <v>CUST-148</v>
      </c>
      <c r="B149" t="str">
        <f>tbl_data[[#This Row],[Customer_Type]]</f>
        <v>Individual</v>
      </c>
      <c r="C149" t="str">
        <f>tbl_data[[#This Row],[Country]]</f>
        <v>Panama</v>
      </c>
      <c r="D149" t="str">
        <f>tbl_data[[#This Row],[Industry]]</f>
        <v>Import/Export</v>
      </c>
      <c r="E149">
        <f>tbl_data[[#This Row],[Tx_Count_30D]]</f>
        <v>48</v>
      </c>
      <c r="F149">
        <f>tbl_data[[#This Row],[Total_Amount_30D]]</f>
        <v>23452</v>
      </c>
      <c r="G149">
        <f>tbl_data[[#This Row],[Avg_Tx_Count_6M]]</f>
        <v>33</v>
      </c>
      <c r="H149">
        <f>tbl_data[[#This Row],[Avg_Total_Amount_6M]]</f>
        <v>68776</v>
      </c>
      <c r="I149">
        <f>IFERROR(tbl_Data2[[#This Row],[Tx_Count_30D]]/tbl_Data2[[#This Row],[Avg_Tx_Count_6M]],0)</f>
        <v>1.4545454545454546</v>
      </c>
      <c r="J149">
        <f>IFERROR(tbl_Data2[[#This Row],[Total_Amount_30D]]/tbl_Data2[[#This Row],[Avg_Total_Amount_6M]],0)</f>
        <v>0.34099104338722808</v>
      </c>
      <c r="K149">
        <f>_xlfn.XLOOKUP(tbl_Data2[[#This Row],[Country]], Geo_Map[Country], Geo_Map[Score], 5)</f>
        <v>8</v>
      </c>
      <c r="L149" cm="1">
        <f t="array" ref="L149">_xlfn.IFS(tbl_Data2[[#This Row],[Tx_Count_30D]]&lt;=5,2,tbl_Data2[[#This Row],[Tx_Count_30D]]&lt;=15,5,tbl_Data2[[#This Row],[Tx_Count_30D]]&lt;=30,7,tbl_Data2[[#This Row],[Tx_Count_30D]]&gt;30,9)</f>
        <v>9</v>
      </c>
      <c r="M149" cm="1">
        <f t="array" ref="M149">_xlfn.IFS(
tbl_Data2[[#This Row],[Total_Amount_30D]]&lt;10000,2,
tbl_Data2[[#This Row],[Total_Amount_30D]]&lt;25000,5,
tbl_Data2[[#This Row],[Total_Amount_30D]]&lt;50000,7,
tbl_Data2[[#This Row],[Total_Amount_30D]]&gt;=50000,9
)</f>
        <v>5</v>
      </c>
      <c r="N149" cm="1">
        <f t="array" ref="N149">_xlfn.IFS(
tbl_Data2[[#This Row],[Amount_Deviation]]&lt;1.5,2,
tbl_Data2[[#This Row],[Amount_Deviation]]&lt;3,6,
tbl_Data2[[#This Row],[Amount_Deviation]]&lt;6,8,
tbl_Data2[[#This Row],[Amount_Deviation]]&gt;=6,10
)</f>
        <v>2</v>
      </c>
      <c r="O149">
        <f>ROUND(
    (tbl_Data2[[#This Row],[Geo_Score]]*0.2) +
    (tbl_Data2[[#This Row],[Velocity_Score]]*0.25) +
    (tbl_Data2[[#This Row],[Volume_Score]]*0.25) +
    (tbl_Data2[[#This Row],[Deviation_Score]]*0.3),
1
)</f>
        <v>5.7</v>
      </c>
      <c r="P149" t="str" cm="1">
        <f t="array" ref="P149">_xlfn.IFS(
tbl_Data2[[#This Row],[Final_Risk_Score]]&lt;5.5,"Low",
tbl_Data2[[#This Row],[Final_Risk_Score]]&lt;7.5,"Medium",
tbl_Data2[[#This Row],[Final_Risk_Score]]&gt;=7.5,"High"
)</f>
        <v>Medium</v>
      </c>
      <c r="Q149" t="str" cm="1">
        <f t="array" ref="Q149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50" spans="1:17">
      <c r="A150" t="str">
        <f>tbl_data[[#This Row],[Customer_ID]]</f>
        <v>CUST-149</v>
      </c>
      <c r="B150" t="str">
        <f>tbl_data[[#This Row],[Customer_Type]]</f>
        <v>Individual</v>
      </c>
      <c r="C150" t="str">
        <f>tbl_data[[#This Row],[Country]]</f>
        <v>Panama</v>
      </c>
      <c r="D150" t="str">
        <f>tbl_data[[#This Row],[Industry]]</f>
        <v>Trading</v>
      </c>
      <c r="E150">
        <f>tbl_data[[#This Row],[Tx_Count_30D]]</f>
        <v>9</v>
      </c>
      <c r="F150">
        <f>tbl_data[[#This Row],[Total_Amount_30D]]</f>
        <v>93470</v>
      </c>
      <c r="G150">
        <f>tbl_data[[#This Row],[Avg_Tx_Count_6M]]</f>
        <v>8</v>
      </c>
      <c r="H150">
        <f>tbl_data[[#This Row],[Avg_Total_Amount_6M]]</f>
        <v>54064</v>
      </c>
      <c r="I150">
        <f>IFERROR(tbl_Data2[[#This Row],[Tx_Count_30D]]/tbl_Data2[[#This Row],[Avg_Tx_Count_6M]],0)</f>
        <v>1.125</v>
      </c>
      <c r="J150">
        <f>IFERROR(tbl_Data2[[#This Row],[Total_Amount_30D]]/tbl_Data2[[#This Row],[Avg_Total_Amount_6M]],0)</f>
        <v>1.7288768866528559</v>
      </c>
      <c r="K150">
        <f>_xlfn.XLOOKUP(tbl_Data2[[#This Row],[Country]], Geo_Map[Country], Geo_Map[Score], 5)</f>
        <v>8</v>
      </c>
      <c r="L150" cm="1">
        <f t="array" ref="L150">_xlfn.IFS(tbl_Data2[[#This Row],[Tx_Count_30D]]&lt;=5,2,tbl_Data2[[#This Row],[Tx_Count_30D]]&lt;=15,5,tbl_Data2[[#This Row],[Tx_Count_30D]]&lt;=30,7,tbl_Data2[[#This Row],[Tx_Count_30D]]&gt;30,9)</f>
        <v>5</v>
      </c>
      <c r="M150" cm="1">
        <f t="array" ref="M150">_xlfn.IFS(
tbl_Data2[[#This Row],[Total_Amount_30D]]&lt;10000,2,
tbl_Data2[[#This Row],[Total_Amount_30D]]&lt;25000,5,
tbl_Data2[[#This Row],[Total_Amount_30D]]&lt;50000,7,
tbl_Data2[[#This Row],[Total_Amount_30D]]&gt;=50000,9
)</f>
        <v>9</v>
      </c>
      <c r="N150" cm="1">
        <f t="array" ref="N150">_xlfn.IFS(
tbl_Data2[[#This Row],[Amount_Deviation]]&lt;1.5,2,
tbl_Data2[[#This Row],[Amount_Deviation]]&lt;3,6,
tbl_Data2[[#This Row],[Amount_Deviation]]&lt;6,8,
tbl_Data2[[#This Row],[Amount_Deviation]]&gt;=6,10
)</f>
        <v>6</v>
      </c>
      <c r="O150">
        <f>ROUND(
    (tbl_Data2[[#This Row],[Geo_Score]]*0.2) +
    (tbl_Data2[[#This Row],[Velocity_Score]]*0.25) +
    (tbl_Data2[[#This Row],[Volume_Score]]*0.25) +
    (tbl_Data2[[#This Row],[Deviation_Score]]*0.3),
1
)</f>
        <v>6.9</v>
      </c>
      <c r="P150" t="str" cm="1">
        <f t="array" ref="P150">_xlfn.IFS(
tbl_Data2[[#This Row],[Final_Risk_Score]]&lt;5.5,"Low",
tbl_Data2[[#This Row],[Final_Risk_Score]]&lt;7.5,"Medium",
tbl_Data2[[#This Row],[Final_Risk_Score]]&gt;=7.5,"High"
)</f>
        <v>Medium</v>
      </c>
      <c r="Q150" t="str" cm="1">
        <f t="array" ref="Q150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51" spans="1:17" hidden="1">
      <c r="A151" t="str">
        <f>tbl_data[[#This Row],[Customer_ID]]</f>
        <v>CUST-150</v>
      </c>
      <c r="B151" t="str">
        <f>tbl_data[[#This Row],[Customer_Type]]</f>
        <v>Business</v>
      </c>
      <c r="C151" t="str">
        <f>tbl_data[[#This Row],[Country]]</f>
        <v>USA</v>
      </c>
      <c r="D151" t="str">
        <f>tbl_data[[#This Row],[Industry]]</f>
        <v>Logistics</v>
      </c>
      <c r="E151">
        <f>tbl_data[[#This Row],[Tx_Count_30D]]</f>
        <v>25</v>
      </c>
      <c r="F151">
        <f>tbl_data[[#This Row],[Total_Amount_30D]]</f>
        <v>47501</v>
      </c>
      <c r="G151">
        <f>tbl_data[[#This Row],[Avg_Tx_Count_6M]]</f>
        <v>40</v>
      </c>
      <c r="H151">
        <f>tbl_data[[#This Row],[Avg_Total_Amount_6M]]</f>
        <v>40170</v>
      </c>
      <c r="I151">
        <f>IFERROR(tbl_Data2[[#This Row],[Tx_Count_30D]]/tbl_Data2[[#This Row],[Avg_Tx_Count_6M]],0)</f>
        <v>0.625</v>
      </c>
      <c r="J151">
        <f>IFERROR(tbl_Data2[[#This Row],[Total_Amount_30D]]/tbl_Data2[[#This Row],[Avg_Total_Amount_6M]],0)</f>
        <v>1.1824993776450088</v>
      </c>
      <c r="K151">
        <f>_xlfn.XLOOKUP(tbl_Data2[[#This Row],[Country]], Geo_Map[Country], Geo_Map[Score], 5)</f>
        <v>1</v>
      </c>
      <c r="L151" cm="1">
        <f t="array" ref="L151">_xlfn.IFS(tbl_Data2[[#This Row],[Tx_Count_30D]]&lt;=5,2,tbl_Data2[[#This Row],[Tx_Count_30D]]&lt;=15,5,tbl_Data2[[#This Row],[Tx_Count_30D]]&lt;=30,7,tbl_Data2[[#This Row],[Tx_Count_30D]]&gt;30,9)</f>
        <v>7</v>
      </c>
      <c r="M151" cm="1">
        <f t="array" ref="M151">_xlfn.IFS(
tbl_Data2[[#This Row],[Total_Amount_30D]]&lt;10000,2,
tbl_Data2[[#This Row],[Total_Amount_30D]]&lt;25000,5,
tbl_Data2[[#This Row],[Total_Amount_30D]]&lt;50000,7,
tbl_Data2[[#This Row],[Total_Amount_30D]]&gt;=50000,9
)</f>
        <v>7</v>
      </c>
      <c r="N151" cm="1">
        <f t="array" ref="N151">_xlfn.IFS(
tbl_Data2[[#This Row],[Amount_Deviation]]&lt;1.5,2,
tbl_Data2[[#This Row],[Amount_Deviation]]&lt;3,6,
tbl_Data2[[#This Row],[Amount_Deviation]]&lt;6,8,
tbl_Data2[[#This Row],[Amount_Deviation]]&gt;=6,10
)</f>
        <v>2</v>
      </c>
      <c r="O151">
        <f>ROUND(
    (tbl_Data2[[#This Row],[Geo_Score]]*0.2) +
    (tbl_Data2[[#This Row],[Velocity_Score]]*0.25) +
    (tbl_Data2[[#This Row],[Volume_Score]]*0.25) +
    (tbl_Data2[[#This Row],[Deviation_Score]]*0.3),
1
)</f>
        <v>4.3</v>
      </c>
      <c r="P151" t="str" cm="1">
        <f t="array" ref="P151">_xlfn.IFS(
tbl_Data2[[#This Row],[Final_Risk_Score]]&lt;5.5,"Low",
tbl_Data2[[#This Row],[Final_Risk_Score]]&lt;7.5,"Medium",
tbl_Data2[[#This Row],[Final_Risk_Score]]&gt;=7.5,"High"
)</f>
        <v>Low</v>
      </c>
      <c r="Q151" t="str" cm="1">
        <f t="array" ref="Q151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152" spans="1:17" hidden="1">
      <c r="A152" t="str">
        <f>tbl_data[[#This Row],[Customer_ID]]</f>
        <v>CUST-151</v>
      </c>
      <c r="B152" t="str">
        <f>tbl_data[[#This Row],[Customer_Type]]</f>
        <v>Business</v>
      </c>
      <c r="C152" t="str">
        <f>tbl_data[[#This Row],[Country]]</f>
        <v>Seychelles</v>
      </c>
      <c r="D152" t="str">
        <f>tbl_data[[#This Row],[Industry]]</f>
        <v>Logistics</v>
      </c>
      <c r="E152">
        <f>tbl_data[[#This Row],[Tx_Count_30D]]</f>
        <v>29</v>
      </c>
      <c r="F152">
        <f>tbl_data[[#This Row],[Total_Amount_30D]]</f>
        <v>64152</v>
      </c>
      <c r="G152">
        <f>tbl_data[[#This Row],[Avg_Tx_Count_6M]]</f>
        <v>15</v>
      </c>
      <c r="H152">
        <f>tbl_data[[#This Row],[Avg_Total_Amount_6M]]</f>
        <v>36646</v>
      </c>
      <c r="I152">
        <f>IFERROR(tbl_Data2[[#This Row],[Tx_Count_30D]]/tbl_Data2[[#This Row],[Avg_Tx_Count_6M]],0)</f>
        <v>1.9333333333333333</v>
      </c>
      <c r="J152">
        <f>IFERROR(tbl_Data2[[#This Row],[Total_Amount_30D]]/tbl_Data2[[#This Row],[Avg_Total_Amount_6M]],0)</f>
        <v>1.7505866943186159</v>
      </c>
      <c r="K152">
        <f>_xlfn.XLOOKUP(tbl_Data2[[#This Row],[Country]], Geo_Map[Country], Geo_Map[Score], 5)</f>
        <v>9</v>
      </c>
      <c r="L152" cm="1">
        <f t="array" ref="L152">_xlfn.IFS(tbl_Data2[[#This Row],[Tx_Count_30D]]&lt;=5,2,tbl_Data2[[#This Row],[Tx_Count_30D]]&lt;=15,5,tbl_Data2[[#This Row],[Tx_Count_30D]]&lt;=30,7,tbl_Data2[[#This Row],[Tx_Count_30D]]&gt;30,9)</f>
        <v>7</v>
      </c>
      <c r="M152" cm="1">
        <f t="array" ref="M152">_xlfn.IFS(
tbl_Data2[[#This Row],[Total_Amount_30D]]&lt;10000,2,
tbl_Data2[[#This Row],[Total_Amount_30D]]&lt;25000,5,
tbl_Data2[[#This Row],[Total_Amount_30D]]&lt;50000,7,
tbl_Data2[[#This Row],[Total_Amount_30D]]&gt;=50000,9
)</f>
        <v>9</v>
      </c>
      <c r="N152" cm="1">
        <f t="array" ref="N152">_xlfn.IFS(
tbl_Data2[[#This Row],[Amount_Deviation]]&lt;1.5,2,
tbl_Data2[[#This Row],[Amount_Deviation]]&lt;3,6,
tbl_Data2[[#This Row],[Amount_Deviation]]&lt;6,8,
tbl_Data2[[#This Row],[Amount_Deviation]]&gt;=6,10
)</f>
        <v>6</v>
      </c>
      <c r="O152">
        <f>ROUND(
    (tbl_Data2[[#This Row],[Geo_Score]]*0.2) +
    (tbl_Data2[[#This Row],[Velocity_Score]]*0.25) +
    (tbl_Data2[[#This Row],[Volume_Score]]*0.25) +
    (tbl_Data2[[#This Row],[Deviation_Score]]*0.3),
1
)</f>
        <v>7.6</v>
      </c>
      <c r="P152" t="str" cm="1">
        <f t="array" ref="P152">_xlfn.IFS(
tbl_Data2[[#This Row],[Final_Risk_Score]]&lt;5.5,"Low",
tbl_Data2[[#This Row],[Final_Risk_Score]]&lt;7.5,"Medium",
tbl_Data2[[#This Row],[Final_Risk_Score]]&gt;=7.5,"High"
)</f>
        <v>High</v>
      </c>
      <c r="Q152" t="str" cm="1">
        <f t="array" ref="Q152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153" spans="1:17">
      <c r="A153" t="str">
        <f>tbl_data[[#This Row],[Customer_ID]]</f>
        <v>CUST-152</v>
      </c>
      <c r="B153" t="str">
        <f>tbl_data[[#This Row],[Customer_Type]]</f>
        <v>Individual</v>
      </c>
      <c r="C153" t="str">
        <f>tbl_data[[#This Row],[Country]]</f>
        <v>USA</v>
      </c>
      <c r="D153" t="str">
        <f>tbl_data[[#This Row],[Industry]]</f>
        <v>IT Services</v>
      </c>
      <c r="E153">
        <f>tbl_data[[#This Row],[Tx_Count_30D]]</f>
        <v>43</v>
      </c>
      <c r="F153">
        <f>tbl_data[[#This Row],[Total_Amount_30D]]</f>
        <v>57069</v>
      </c>
      <c r="G153">
        <f>tbl_data[[#This Row],[Avg_Tx_Count_6M]]</f>
        <v>3</v>
      </c>
      <c r="H153">
        <f>tbl_data[[#This Row],[Avg_Total_Amount_6M]]</f>
        <v>31872</v>
      </c>
      <c r="I153">
        <f>IFERROR(tbl_Data2[[#This Row],[Tx_Count_30D]]/tbl_Data2[[#This Row],[Avg_Tx_Count_6M]],0)</f>
        <v>14.333333333333334</v>
      </c>
      <c r="J153">
        <f>IFERROR(tbl_Data2[[#This Row],[Total_Amount_30D]]/tbl_Data2[[#This Row],[Avg_Total_Amount_6M]],0)</f>
        <v>1.7905685240963856</v>
      </c>
      <c r="K153">
        <f>_xlfn.XLOOKUP(tbl_Data2[[#This Row],[Country]], Geo_Map[Country], Geo_Map[Score], 5)</f>
        <v>1</v>
      </c>
      <c r="L153" cm="1">
        <f t="array" ref="L153">_xlfn.IFS(tbl_Data2[[#This Row],[Tx_Count_30D]]&lt;=5,2,tbl_Data2[[#This Row],[Tx_Count_30D]]&lt;=15,5,tbl_Data2[[#This Row],[Tx_Count_30D]]&lt;=30,7,tbl_Data2[[#This Row],[Tx_Count_30D]]&gt;30,9)</f>
        <v>9</v>
      </c>
      <c r="M153" cm="1">
        <f t="array" ref="M153">_xlfn.IFS(
tbl_Data2[[#This Row],[Total_Amount_30D]]&lt;10000,2,
tbl_Data2[[#This Row],[Total_Amount_30D]]&lt;25000,5,
tbl_Data2[[#This Row],[Total_Amount_30D]]&lt;50000,7,
tbl_Data2[[#This Row],[Total_Amount_30D]]&gt;=50000,9
)</f>
        <v>9</v>
      </c>
      <c r="N153" cm="1">
        <f t="array" ref="N153">_xlfn.IFS(
tbl_Data2[[#This Row],[Amount_Deviation]]&lt;1.5,2,
tbl_Data2[[#This Row],[Amount_Deviation]]&lt;3,6,
tbl_Data2[[#This Row],[Amount_Deviation]]&lt;6,8,
tbl_Data2[[#This Row],[Amount_Deviation]]&gt;=6,10
)</f>
        <v>6</v>
      </c>
      <c r="O153">
        <f>ROUND(
    (tbl_Data2[[#This Row],[Geo_Score]]*0.2) +
    (tbl_Data2[[#This Row],[Velocity_Score]]*0.25) +
    (tbl_Data2[[#This Row],[Volume_Score]]*0.25) +
    (tbl_Data2[[#This Row],[Deviation_Score]]*0.3),
1
)</f>
        <v>6.5</v>
      </c>
      <c r="P153" t="str" cm="1">
        <f t="array" ref="P153">_xlfn.IFS(
tbl_Data2[[#This Row],[Final_Risk_Score]]&lt;5.5,"Low",
tbl_Data2[[#This Row],[Final_Risk_Score]]&lt;7.5,"Medium",
tbl_Data2[[#This Row],[Final_Risk_Score]]&gt;=7.5,"High"
)</f>
        <v>Medium</v>
      </c>
      <c r="Q153" t="str" cm="1">
        <f t="array" ref="Q153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54" spans="1:17" hidden="1">
      <c r="A154" t="str">
        <f>tbl_data[[#This Row],[Customer_ID]]</f>
        <v>CUST-153</v>
      </c>
      <c r="B154" t="str">
        <f>tbl_data[[#This Row],[Customer_Type]]</f>
        <v>Business</v>
      </c>
      <c r="C154" t="str">
        <f>tbl_data[[#This Row],[Country]]</f>
        <v>BVI</v>
      </c>
      <c r="D154" t="str">
        <f>tbl_data[[#This Row],[Industry]]</f>
        <v>Consulting</v>
      </c>
      <c r="E154">
        <f>tbl_data[[#This Row],[Tx_Count_30D]]</f>
        <v>45</v>
      </c>
      <c r="F154">
        <f>tbl_data[[#This Row],[Total_Amount_30D]]</f>
        <v>115341</v>
      </c>
      <c r="G154">
        <f>tbl_data[[#This Row],[Avg_Tx_Count_6M]]</f>
        <v>2</v>
      </c>
      <c r="H154">
        <f>tbl_data[[#This Row],[Avg_Total_Amount_6M]]</f>
        <v>36220</v>
      </c>
      <c r="I154">
        <f>IFERROR(tbl_Data2[[#This Row],[Tx_Count_30D]]/tbl_Data2[[#This Row],[Avg_Tx_Count_6M]],0)</f>
        <v>22.5</v>
      </c>
      <c r="J154">
        <f>IFERROR(tbl_Data2[[#This Row],[Total_Amount_30D]]/tbl_Data2[[#This Row],[Avg_Total_Amount_6M]],0)</f>
        <v>3.1844561016013251</v>
      </c>
      <c r="K154">
        <f>_xlfn.XLOOKUP(tbl_Data2[[#This Row],[Country]], Geo_Map[Country], Geo_Map[Score], 5)</f>
        <v>9</v>
      </c>
      <c r="L154" cm="1">
        <f t="array" ref="L154">_xlfn.IFS(tbl_Data2[[#This Row],[Tx_Count_30D]]&lt;=5,2,tbl_Data2[[#This Row],[Tx_Count_30D]]&lt;=15,5,tbl_Data2[[#This Row],[Tx_Count_30D]]&lt;=30,7,tbl_Data2[[#This Row],[Tx_Count_30D]]&gt;30,9)</f>
        <v>9</v>
      </c>
      <c r="M154" cm="1">
        <f t="array" ref="M154">_xlfn.IFS(
tbl_Data2[[#This Row],[Total_Amount_30D]]&lt;10000,2,
tbl_Data2[[#This Row],[Total_Amount_30D]]&lt;25000,5,
tbl_Data2[[#This Row],[Total_Amount_30D]]&lt;50000,7,
tbl_Data2[[#This Row],[Total_Amount_30D]]&gt;=50000,9
)</f>
        <v>9</v>
      </c>
      <c r="N154" cm="1">
        <f t="array" ref="N154">_xlfn.IFS(
tbl_Data2[[#This Row],[Amount_Deviation]]&lt;1.5,2,
tbl_Data2[[#This Row],[Amount_Deviation]]&lt;3,6,
tbl_Data2[[#This Row],[Amount_Deviation]]&lt;6,8,
tbl_Data2[[#This Row],[Amount_Deviation]]&gt;=6,10
)</f>
        <v>8</v>
      </c>
      <c r="O154">
        <f>ROUND(
    (tbl_Data2[[#This Row],[Geo_Score]]*0.2) +
    (tbl_Data2[[#This Row],[Velocity_Score]]*0.25) +
    (tbl_Data2[[#This Row],[Volume_Score]]*0.25) +
    (tbl_Data2[[#This Row],[Deviation_Score]]*0.3),
1
)</f>
        <v>8.6999999999999993</v>
      </c>
      <c r="P154" t="str" cm="1">
        <f t="array" ref="P154">_xlfn.IFS(
tbl_Data2[[#This Row],[Final_Risk_Score]]&lt;5.5,"Low",
tbl_Data2[[#This Row],[Final_Risk_Score]]&lt;7.5,"Medium",
tbl_Data2[[#This Row],[Final_Risk_Score]]&gt;=7.5,"High"
)</f>
        <v>High</v>
      </c>
      <c r="Q154" t="str" cm="1">
        <f t="array" ref="Q154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155" spans="1:17">
      <c r="A155" t="str">
        <f>tbl_data[[#This Row],[Customer_ID]]</f>
        <v>CUST-154</v>
      </c>
      <c r="B155" t="str">
        <f>tbl_data[[#This Row],[Customer_Type]]</f>
        <v>Business</v>
      </c>
      <c r="C155" t="str">
        <f>tbl_data[[#This Row],[Country]]</f>
        <v>USA</v>
      </c>
      <c r="D155" t="str">
        <f>tbl_data[[#This Row],[Industry]]</f>
        <v>Manufacturing</v>
      </c>
      <c r="E155">
        <f>tbl_data[[#This Row],[Tx_Count_30D]]</f>
        <v>46</v>
      </c>
      <c r="F155">
        <f>tbl_data[[#This Row],[Total_Amount_30D]]</f>
        <v>115292</v>
      </c>
      <c r="G155">
        <f>tbl_data[[#This Row],[Avg_Tx_Count_6M]]</f>
        <v>24</v>
      </c>
      <c r="H155">
        <f>tbl_data[[#This Row],[Avg_Total_Amount_6M]]</f>
        <v>76679</v>
      </c>
      <c r="I155">
        <f>IFERROR(tbl_Data2[[#This Row],[Tx_Count_30D]]/tbl_Data2[[#This Row],[Avg_Tx_Count_6M]],0)</f>
        <v>1.9166666666666667</v>
      </c>
      <c r="J155">
        <f>IFERROR(tbl_Data2[[#This Row],[Total_Amount_30D]]/tbl_Data2[[#This Row],[Avg_Total_Amount_6M]],0)</f>
        <v>1.5035668175119654</v>
      </c>
      <c r="K155">
        <f>_xlfn.XLOOKUP(tbl_Data2[[#This Row],[Country]], Geo_Map[Country], Geo_Map[Score], 5)</f>
        <v>1</v>
      </c>
      <c r="L155" cm="1">
        <f t="array" ref="L155">_xlfn.IFS(tbl_Data2[[#This Row],[Tx_Count_30D]]&lt;=5,2,tbl_Data2[[#This Row],[Tx_Count_30D]]&lt;=15,5,tbl_Data2[[#This Row],[Tx_Count_30D]]&lt;=30,7,tbl_Data2[[#This Row],[Tx_Count_30D]]&gt;30,9)</f>
        <v>9</v>
      </c>
      <c r="M155" cm="1">
        <f t="array" ref="M155">_xlfn.IFS(
tbl_Data2[[#This Row],[Total_Amount_30D]]&lt;10000,2,
tbl_Data2[[#This Row],[Total_Amount_30D]]&lt;25000,5,
tbl_Data2[[#This Row],[Total_Amount_30D]]&lt;50000,7,
tbl_Data2[[#This Row],[Total_Amount_30D]]&gt;=50000,9
)</f>
        <v>9</v>
      </c>
      <c r="N155" cm="1">
        <f t="array" ref="N155">_xlfn.IFS(
tbl_Data2[[#This Row],[Amount_Deviation]]&lt;1.5,2,
tbl_Data2[[#This Row],[Amount_Deviation]]&lt;3,6,
tbl_Data2[[#This Row],[Amount_Deviation]]&lt;6,8,
tbl_Data2[[#This Row],[Amount_Deviation]]&gt;=6,10
)</f>
        <v>6</v>
      </c>
      <c r="O155">
        <f>ROUND(
    (tbl_Data2[[#This Row],[Geo_Score]]*0.2) +
    (tbl_Data2[[#This Row],[Velocity_Score]]*0.25) +
    (tbl_Data2[[#This Row],[Volume_Score]]*0.25) +
    (tbl_Data2[[#This Row],[Deviation_Score]]*0.3),
1
)</f>
        <v>6.5</v>
      </c>
      <c r="P155" t="str" cm="1">
        <f t="array" ref="P155">_xlfn.IFS(
tbl_Data2[[#This Row],[Final_Risk_Score]]&lt;5.5,"Low",
tbl_Data2[[#This Row],[Final_Risk_Score]]&lt;7.5,"Medium",
tbl_Data2[[#This Row],[Final_Risk_Score]]&gt;=7.5,"High"
)</f>
        <v>Medium</v>
      </c>
      <c r="Q155" t="str" cm="1">
        <f t="array" ref="Q155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56" spans="1:17" hidden="1">
      <c r="A156" t="str">
        <f>tbl_data[[#This Row],[Customer_ID]]</f>
        <v>CUST-155</v>
      </c>
      <c r="B156" t="str">
        <f>tbl_data[[#This Row],[Customer_Type]]</f>
        <v>Business</v>
      </c>
      <c r="C156" t="str">
        <f>tbl_data[[#This Row],[Country]]</f>
        <v>USA</v>
      </c>
      <c r="D156" t="str">
        <f>tbl_data[[#This Row],[Industry]]</f>
        <v>Logistics</v>
      </c>
      <c r="E156">
        <f>tbl_data[[#This Row],[Tx_Count_30D]]</f>
        <v>23</v>
      </c>
      <c r="F156">
        <f>tbl_data[[#This Row],[Total_Amount_30D]]</f>
        <v>16846</v>
      </c>
      <c r="G156">
        <f>tbl_data[[#This Row],[Avg_Tx_Count_6M]]</f>
        <v>28</v>
      </c>
      <c r="H156">
        <f>tbl_data[[#This Row],[Avg_Total_Amount_6M]]</f>
        <v>46378</v>
      </c>
      <c r="I156">
        <f>IFERROR(tbl_Data2[[#This Row],[Tx_Count_30D]]/tbl_Data2[[#This Row],[Avg_Tx_Count_6M]],0)</f>
        <v>0.8214285714285714</v>
      </c>
      <c r="J156">
        <f>IFERROR(tbl_Data2[[#This Row],[Total_Amount_30D]]/tbl_Data2[[#This Row],[Avg_Total_Amount_6M]],0)</f>
        <v>0.36323256716546637</v>
      </c>
      <c r="K156">
        <f>_xlfn.XLOOKUP(tbl_Data2[[#This Row],[Country]], Geo_Map[Country], Geo_Map[Score], 5)</f>
        <v>1</v>
      </c>
      <c r="L156" cm="1">
        <f t="array" ref="L156">_xlfn.IFS(tbl_Data2[[#This Row],[Tx_Count_30D]]&lt;=5,2,tbl_Data2[[#This Row],[Tx_Count_30D]]&lt;=15,5,tbl_Data2[[#This Row],[Tx_Count_30D]]&lt;=30,7,tbl_Data2[[#This Row],[Tx_Count_30D]]&gt;30,9)</f>
        <v>7</v>
      </c>
      <c r="M156" cm="1">
        <f t="array" ref="M156">_xlfn.IFS(
tbl_Data2[[#This Row],[Total_Amount_30D]]&lt;10000,2,
tbl_Data2[[#This Row],[Total_Amount_30D]]&lt;25000,5,
tbl_Data2[[#This Row],[Total_Amount_30D]]&lt;50000,7,
tbl_Data2[[#This Row],[Total_Amount_30D]]&gt;=50000,9
)</f>
        <v>5</v>
      </c>
      <c r="N156" cm="1">
        <f t="array" ref="N156">_xlfn.IFS(
tbl_Data2[[#This Row],[Amount_Deviation]]&lt;1.5,2,
tbl_Data2[[#This Row],[Amount_Deviation]]&lt;3,6,
tbl_Data2[[#This Row],[Amount_Deviation]]&lt;6,8,
tbl_Data2[[#This Row],[Amount_Deviation]]&gt;=6,10
)</f>
        <v>2</v>
      </c>
      <c r="O156">
        <f>ROUND(
    (tbl_Data2[[#This Row],[Geo_Score]]*0.2) +
    (tbl_Data2[[#This Row],[Velocity_Score]]*0.25) +
    (tbl_Data2[[#This Row],[Volume_Score]]*0.25) +
    (tbl_Data2[[#This Row],[Deviation_Score]]*0.3),
1
)</f>
        <v>3.8</v>
      </c>
      <c r="P156" t="str" cm="1">
        <f t="array" ref="P156">_xlfn.IFS(
tbl_Data2[[#This Row],[Final_Risk_Score]]&lt;5.5,"Low",
tbl_Data2[[#This Row],[Final_Risk_Score]]&lt;7.5,"Medium",
tbl_Data2[[#This Row],[Final_Risk_Score]]&gt;=7.5,"High"
)</f>
        <v>Low</v>
      </c>
      <c r="Q156" t="str" cm="1">
        <f t="array" ref="Q156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157" spans="1:17" hidden="1">
      <c r="A157" t="str">
        <f>tbl_data[[#This Row],[Customer_ID]]</f>
        <v>CUST-156</v>
      </c>
      <c r="B157" t="str">
        <f>tbl_data[[#This Row],[Customer_Type]]</f>
        <v>Business</v>
      </c>
      <c r="C157" t="str">
        <f>tbl_data[[#This Row],[Country]]</f>
        <v>Seychelles</v>
      </c>
      <c r="D157" t="str">
        <f>tbl_data[[#This Row],[Industry]]</f>
        <v>Trading</v>
      </c>
      <c r="E157">
        <f>tbl_data[[#This Row],[Tx_Count_30D]]</f>
        <v>39</v>
      </c>
      <c r="F157">
        <f>tbl_data[[#This Row],[Total_Amount_30D]]</f>
        <v>99110</v>
      </c>
      <c r="G157">
        <f>tbl_data[[#This Row],[Avg_Tx_Count_6M]]</f>
        <v>21</v>
      </c>
      <c r="H157">
        <f>tbl_data[[#This Row],[Avg_Total_Amount_6M]]</f>
        <v>52419</v>
      </c>
      <c r="I157">
        <f>IFERROR(tbl_Data2[[#This Row],[Tx_Count_30D]]/tbl_Data2[[#This Row],[Avg_Tx_Count_6M]],0)</f>
        <v>1.8571428571428572</v>
      </c>
      <c r="J157">
        <f>IFERROR(tbl_Data2[[#This Row],[Total_Amount_30D]]/tbl_Data2[[#This Row],[Avg_Total_Amount_6M]],0)</f>
        <v>1.8907266449188271</v>
      </c>
      <c r="K157">
        <f>_xlfn.XLOOKUP(tbl_Data2[[#This Row],[Country]], Geo_Map[Country], Geo_Map[Score], 5)</f>
        <v>9</v>
      </c>
      <c r="L157" cm="1">
        <f t="array" ref="L157">_xlfn.IFS(tbl_Data2[[#This Row],[Tx_Count_30D]]&lt;=5,2,tbl_Data2[[#This Row],[Tx_Count_30D]]&lt;=15,5,tbl_Data2[[#This Row],[Tx_Count_30D]]&lt;=30,7,tbl_Data2[[#This Row],[Tx_Count_30D]]&gt;30,9)</f>
        <v>9</v>
      </c>
      <c r="M157" cm="1">
        <f t="array" ref="M157">_xlfn.IFS(
tbl_Data2[[#This Row],[Total_Amount_30D]]&lt;10000,2,
tbl_Data2[[#This Row],[Total_Amount_30D]]&lt;25000,5,
tbl_Data2[[#This Row],[Total_Amount_30D]]&lt;50000,7,
tbl_Data2[[#This Row],[Total_Amount_30D]]&gt;=50000,9
)</f>
        <v>9</v>
      </c>
      <c r="N157" cm="1">
        <f t="array" ref="N157">_xlfn.IFS(
tbl_Data2[[#This Row],[Amount_Deviation]]&lt;1.5,2,
tbl_Data2[[#This Row],[Amount_Deviation]]&lt;3,6,
tbl_Data2[[#This Row],[Amount_Deviation]]&lt;6,8,
tbl_Data2[[#This Row],[Amount_Deviation]]&gt;=6,10
)</f>
        <v>6</v>
      </c>
      <c r="O157">
        <f>ROUND(
    (tbl_Data2[[#This Row],[Geo_Score]]*0.2) +
    (tbl_Data2[[#This Row],[Velocity_Score]]*0.25) +
    (tbl_Data2[[#This Row],[Volume_Score]]*0.25) +
    (tbl_Data2[[#This Row],[Deviation_Score]]*0.3),
1
)</f>
        <v>8.1</v>
      </c>
      <c r="P157" t="str" cm="1">
        <f t="array" ref="P157">_xlfn.IFS(
tbl_Data2[[#This Row],[Final_Risk_Score]]&lt;5.5,"Low",
tbl_Data2[[#This Row],[Final_Risk_Score]]&lt;7.5,"Medium",
tbl_Data2[[#This Row],[Final_Risk_Score]]&gt;=7.5,"High"
)</f>
        <v>High</v>
      </c>
      <c r="Q157" t="str" cm="1">
        <f t="array" ref="Q157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158" spans="1:17" hidden="1">
      <c r="A158" t="str">
        <f>tbl_data[[#This Row],[Customer_ID]]</f>
        <v>CUST-157</v>
      </c>
      <c r="B158" t="str">
        <f>tbl_data[[#This Row],[Customer_Type]]</f>
        <v>Business</v>
      </c>
      <c r="C158" t="str">
        <f>tbl_data[[#This Row],[Country]]</f>
        <v>UAE</v>
      </c>
      <c r="D158" t="str">
        <f>tbl_data[[#This Row],[Industry]]</f>
        <v>Import/Export</v>
      </c>
      <c r="E158">
        <f>tbl_data[[#This Row],[Tx_Count_30D]]</f>
        <v>53</v>
      </c>
      <c r="F158">
        <f>tbl_data[[#This Row],[Total_Amount_30D]]</f>
        <v>106094</v>
      </c>
      <c r="G158">
        <f>tbl_data[[#This Row],[Avg_Tx_Count_6M]]</f>
        <v>15</v>
      </c>
      <c r="H158">
        <f>tbl_data[[#This Row],[Avg_Total_Amount_6M]]</f>
        <v>38675</v>
      </c>
      <c r="I158">
        <f>IFERROR(tbl_Data2[[#This Row],[Tx_Count_30D]]/tbl_Data2[[#This Row],[Avg_Tx_Count_6M]],0)</f>
        <v>3.5333333333333332</v>
      </c>
      <c r="J158">
        <f>IFERROR(tbl_Data2[[#This Row],[Total_Amount_30D]]/tbl_Data2[[#This Row],[Avg_Total_Amount_6M]],0)</f>
        <v>2.743219133807369</v>
      </c>
      <c r="K158">
        <f>_xlfn.XLOOKUP(tbl_Data2[[#This Row],[Country]], Geo_Map[Country], Geo_Map[Score], 5)</f>
        <v>6</v>
      </c>
      <c r="L158" cm="1">
        <f t="array" ref="L158">_xlfn.IFS(tbl_Data2[[#This Row],[Tx_Count_30D]]&lt;=5,2,tbl_Data2[[#This Row],[Tx_Count_30D]]&lt;=15,5,tbl_Data2[[#This Row],[Tx_Count_30D]]&lt;=30,7,tbl_Data2[[#This Row],[Tx_Count_30D]]&gt;30,9)</f>
        <v>9</v>
      </c>
      <c r="M158" cm="1">
        <f t="array" ref="M158">_xlfn.IFS(
tbl_Data2[[#This Row],[Total_Amount_30D]]&lt;10000,2,
tbl_Data2[[#This Row],[Total_Amount_30D]]&lt;25000,5,
tbl_Data2[[#This Row],[Total_Amount_30D]]&lt;50000,7,
tbl_Data2[[#This Row],[Total_Amount_30D]]&gt;=50000,9
)</f>
        <v>9</v>
      </c>
      <c r="N158" cm="1">
        <f t="array" ref="N158">_xlfn.IFS(
tbl_Data2[[#This Row],[Amount_Deviation]]&lt;1.5,2,
tbl_Data2[[#This Row],[Amount_Deviation]]&lt;3,6,
tbl_Data2[[#This Row],[Amount_Deviation]]&lt;6,8,
tbl_Data2[[#This Row],[Amount_Deviation]]&gt;=6,10
)</f>
        <v>6</v>
      </c>
      <c r="O158">
        <f>ROUND(
    (tbl_Data2[[#This Row],[Geo_Score]]*0.2) +
    (tbl_Data2[[#This Row],[Velocity_Score]]*0.25) +
    (tbl_Data2[[#This Row],[Volume_Score]]*0.25) +
    (tbl_Data2[[#This Row],[Deviation_Score]]*0.3),
1
)</f>
        <v>7.5</v>
      </c>
      <c r="P158" t="str" cm="1">
        <f t="array" ref="P158">_xlfn.IFS(
tbl_Data2[[#This Row],[Final_Risk_Score]]&lt;5.5,"Low",
tbl_Data2[[#This Row],[Final_Risk_Score]]&lt;7.5,"Medium",
tbl_Data2[[#This Row],[Final_Risk_Score]]&gt;=7.5,"High"
)</f>
        <v>High</v>
      </c>
      <c r="Q158" t="str" cm="1">
        <f t="array" ref="Q158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159" spans="1:17">
      <c r="A159" t="str">
        <f>tbl_data[[#This Row],[Customer_ID]]</f>
        <v>CUST-158</v>
      </c>
      <c r="B159" t="str">
        <f>tbl_data[[#This Row],[Customer_Type]]</f>
        <v>Business</v>
      </c>
      <c r="C159" t="str">
        <f>tbl_data[[#This Row],[Country]]</f>
        <v>Panama</v>
      </c>
      <c r="D159" t="str">
        <f>tbl_data[[#This Row],[Industry]]</f>
        <v>Manufacturing</v>
      </c>
      <c r="E159">
        <f>tbl_data[[#This Row],[Tx_Count_30D]]</f>
        <v>42</v>
      </c>
      <c r="F159">
        <f>tbl_data[[#This Row],[Total_Amount_30D]]</f>
        <v>82440</v>
      </c>
      <c r="G159">
        <f>tbl_data[[#This Row],[Avg_Tx_Count_6M]]</f>
        <v>28</v>
      </c>
      <c r="H159">
        <f>tbl_data[[#This Row],[Avg_Total_Amount_6M]]</f>
        <v>62170</v>
      </c>
      <c r="I159">
        <f>IFERROR(tbl_Data2[[#This Row],[Tx_Count_30D]]/tbl_Data2[[#This Row],[Avg_Tx_Count_6M]],0)</f>
        <v>1.5</v>
      </c>
      <c r="J159">
        <f>IFERROR(tbl_Data2[[#This Row],[Total_Amount_30D]]/tbl_Data2[[#This Row],[Avg_Total_Amount_6M]],0)</f>
        <v>1.3260414991153289</v>
      </c>
      <c r="K159">
        <f>_xlfn.XLOOKUP(tbl_Data2[[#This Row],[Country]], Geo_Map[Country], Geo_Map[Score], 5)</f>
        <v>8</v>
      </c>
      <c r="L159" cm="1">
        <f t="array" ref="L159">_xlfn.IFS(tbl_Data2[[#This Row],[Tx_Count_30D]]&lt;=5,2,tbl_Data2[[#This Row],[Tx_Count_30D]]&lt;=15,5,tbl_Data2[[#This Row],[Tx_Count_30D]]&lt;=30,7,tbl_Data2[[#This Row],[Tx_Count_30D]]&gt;30,9)</f>
        <v>9</v>
      </c>
      <c r="M159" cm="1">
        <f t="array" ref="M159">_xlfn.IFS(
tbl_Data2[[#This Row],[Total_Amount_30D]]&lt;10000,2,
tbl_Data2[[#This Row],[Total_Amount_30D]]&lt;25000,5,
tbl_Data2[[#This Row],[Total_Amount_30D]]&lt;50000,7,
tbl_Data2[[#This Row],[Total_Amount_30D]]&gt;=50000,9
)</f>
        <v>9</v>
      </c>
      <c r="N159" cm="1">
        <f t="array" ref="N159">_xlfn.IFS(
tbl_Data2[[#This Row],[Amount_Deviation]]&lt;1.5,2,
tbl_Data2[[#This Row],[Amount_Deviation]]&lt;3,6,
tbl_Data2[[#This Row],[Amount_Deviation]]&lt;6,8,
tbl_Data2[[#This Row],[Amount_Deviation]]&gt;=6,10
)</f>
        <v>2</v>
      </c>
      <c r="O159">
        <f>ROUND(
    (tbl_Data2[[#This Row],[Geo_Score]]*0.2) +
    (tbl_Data2[[#This Row],[Velocity_Score]]*0.25) +
    (tbl_Data2[[#This Row],[Volume_Score]]*0.25) +
    (tbl_Data2[[#This Row],[Deviation_Score]]*0.3),
1
)</f>
        <v>6.7</v>
      </c>
      <c r="P159" t="str" cm="1">
        <f t="array" ref="P159">_xlfn.IFS(
tbl_Data2[[#This Row],[Final_Risk_Score]]&lt;5.5,"Low",
tbl_Data2[[#This Row],[Final_Risk_Score]]&lt;7.5,"Medium",
tbl_Data2[[#This Row],[Final_Risk_Score]]&gt;=7.5,"High"
)</f>
        <v>Medium</v>
      </c>
      <c r="Q159" t="str" cm="1">
        <f t="array" ref="Q159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60" spans="1:17">
      <c r="A160" t="str">
        <f>tbl_data[[#This Row],[Customer_ID]]</f>
        <v>CUST-159</v>
      </c>
      <c r="B160" t="str">
        <f>tbl_data[[#This Row],[Customer_Type]]</f>
        <v>Business</v>
      </c>
      <c r="C160" t="str">
        <f>tbl_data[[#This Row],[Country]]</f>
        <v>Seychelles</v>
      </c>
      <c r="D160" t="str">
        <f>tbl_data[[#This Row],[Industry]]</f>
        <v>IT Services</v>
      </c>
      <c r="E160">
        <f>tbl_data[[#This Row],[Tx_Count_30D]]</f>
        <v>48</v>
      </c>
      <c r="F160">
        <f>tbl_data[[#This Row],[Total_Amount_30D]]</f>
        <v>4140</v>
      </c>
      <c r="G160">
        <f>tbl_data[[#This Row],[Avg_Tx_Count_6M]]</f>
        <v>25</v>
      </c>
      <c r="H160">
        <f>tbl_data[[#This Row],[Avg_Total_Amount_6M]]</f>
        <v>1624</v>
      </c>
      <c r="I160">
        <f>IFERROR(tbl_Data2[[#This Row],[Tx_Count_30D]]/tbl_Data2[[#This Row],[Avg_Tx_Count_6M]],0)</f>
        <v>1.92</v>
      </c>
      <c r="J160">
        <f>IFERROR(tbl_Data2[[#This Row],[Total_Amount_30D]]/tbl_Data2[[#This Row],[Avg_Total_Amount_6M]],0)</f>
        <v>2.5492610837438425</v>
      </c>
      <c r="K160">
        <f>_xlfn.XLOOKUP(tbl_Data2[[#This Row],[Country]], Geo_Map[Country], Geo_Map[Score], 5)</f>
        <v>9</v>
      </c>
      <c r="L160" cm="1">
        <f t="array" ref="L160">_xlfn.IFS(tbl_Data2[[#This Row],[Tx_Count_30D]]&lt;=5,2,tbl_Data2[[#This Row],[Tx_Count_30D]]&lt;=15,5,tbl_Data2[[#This Row],[Tx_Count_30D]]&lt;=30,7,tbl_Data2[[#This Row],[Tx_Count_30D]]&gt;30,9)</f>
        <v>9</v>
      </c>
      <c r="M160" cm="1">
        <f t="array" ref="M160">_xlfn.IFS(
tbl_Data2[[#This Row],[Total_Amount_30D]]&lt;10000,2,
tbl_Data2[[#This Row],[Total_Amount_30D]]&lt;25000,5,
tbl_Data2[[#This Row],[Total_Amount_30D]]&lt;50000,7,
tbl_Data2[[#This Row],[Total_Amount_30D]]&gt;=50000,9
)</f>
        <v>2</v>
      </c>
      <c r="N160" cm="1">
        <f t="array" ref="N160">_xlfn.IFS(
tbl_Data2[[#This Row],[Amount_Deviation]]&lt;1.5,2,
tbl_Data2[[#This Row],[Amount_Deviation]]&lt;3,6,
tbl_Data2[[#This Row],[Amount_Deviation]]&lt;6,8,
tbl_Data2[[#This Row],[Amount_Deviation]]&gt;=6,10
)</f>
        <v>6</v>
      </c>
      <c r="O160">
        <f>ROUND(
    (tbl_Data2[[#This Row],[Geo_Score]]*0.2) +
    (tbl_Data2[[#This Row],[Velocity_Score]]*0.25) +
    (tbl_Data2[[#This Row],[Volume_Score]]*0.25) +
    (tbl_Data2[[#This Row],[Deviation_Score]]*0.3),
1
)</f>
        <v>6.4</v>
      </c>
      <c r="P160" t="str" cm="1">
        <f t="array" ref="P160">_xlfn.IFS(
tbl_Data2[[#This Row],[Final_Risk_Score]]&lt;5.5,"Low",
tbl_Data2[[#This Row],[Final_Risk_Score]]&lt;7.5,"Medium",
tbl_Data2[[#This Row],[Final_Risk_Score]]&gt;=7.5,"High"
)</f>
        <v>Medium</v>
      </c>
      <c r="Q160" t="str" cm="1">
        <f t="array" ref="Q160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61" spans="1:17">
      <c r="A161" t="str">
        <f>tbl_data[[#This Row],[Customer_ID]]</f>
        <v>CUST-160</v>
      </c>
      <c r="B161" t="str">
        <f>tbl_data[[#This Row],[Customer_Type]]</f>
        <v>Business</v>
      </c>
      <c r="C161" t="str">
        <f>tbl_data[[#This Row],[Country]]</f>
        <v>USA</v>
      </c>
      <c r="D161" t="str">
        <f>tbl_data[[#This Row],[Industry]]</f>
        <v>Manufacturing</v>
      </c>
      <c r="E161">
        <f>tbl_data[[#This Row],[Tx_Count_30D]]</f>
        <v>42</v>
      </c>
      <c r="F161">
        <f>tbl_data[[#This Row],[Total_Amount_30D]]</f>
        <v>105037</v>
      </c>
      <c r="G161">
        <f>tbl_data[[#This Row],[Avg_Tx_Count_6M]]</f>
        <v>19</v>
      </c>
      <c r="H161">
        <f>tbl_data[[#This Row],[Avg_Total_Amount_6M]]</f>
        <v>45937</v>
      </c>
      <c r="I161">
        <f>IFERROR(tbl_Data2[[#This Row],[Tx_Count_30D]]/tbl_Data2[[#This Row],[Avg_Tx_Count_6M]],0)</f>
        <v>2.2105263157894739</v>
      </c>
      <c r="J161">
        <f>IFERROR(tbl_Data2[[#This Row],[Total_Amount_30D]]/tbl_Data2[[#This Row],[Avg_Total_Amount_6M]],0)</f>
        <v>2.2865446154515969</v>
      </c>
      <c r="K161">
        <f>_xlfn.XLOOKUP(tbl_Data2[[#This Row],[Country]], Geo_Map[Country], Geo_Map[Score], 5)</f>
        <v>1</v>
      </c>
      <c r="L161" cm="1">
        <f t="array" ref="L161">_xlfn.IFS(tbl_Data2[[#This Row],[Tx_Count_30D]]&lt;=5,2,tbl_Data2[[#This Row],[Tx_Count_30D]]&lt;=15,5,tbl_Data2[[#This Row],[Tx_Count_30D]]&lt;=30,7,tbl_Data2[[#This Row],[Tx_Count_30D]]&gt;30,9)</f>
        <v>9</v>
      </c>
      <c r="M161" cm="1">
        <f t="array" ref="M161">_xlfn.IFS(
tbl_Data2[[#This Row],[Total_Amount_30D]]&lt;10000,2,
tbl_Data2[[#This Row],[Total_Amount_30D]]&lt;25000,5,
tbl_Data2[[#This Row],[Total_Amount_30D]]&lt;50000,7,
tbl_Data2[[#This Row],[Total_Amount_30D]]&gt;=50000,9
)</f>
        <v>9</v>
      </c>
      <c r="N161" cm="1">
        <f t="array" ref="N161">_xlfn.IFS(
tbl_Data2[[#This Row],[Amount_Deviation]]&lt;1.5,2,
tbl_Data2[[#This Row],[Amount_Deviation]]&lt;3,6,
tbl_Data2[[#This Row],[Amount_Deviation]]&lt;6,8,
tbl_Data2[[#This Row],[Amount_Deviation]]&gt;=6,10
)</f>
        <v>6</v>
      </c>
      <c r="O161">
        <f>ROUND(
    (tbl_Data2[[#This Row],[Geo_Score]]*0.2) +
    (tbl_Data2[[#This Row],[Velocity_Score]]*0.25) +
    (tbl_Data2[[#This Row],[Volume_Score]]*0.25) +
    (tbl_Data2[[#This Row],[Deviation_Score]]*0.3),
1
)</f>
        <v>6.5</v>
      </c>
      <c r="P161" t="str" cm="1">
        <f t="array" ref="P161">_xlfn.IFS(
tbl_Data2[[#This Row],[Final_Risk_Score]]&lt;5.5,"Low",
tbl_Data2[[#This Row],[Final_Risk_Score]]&lt;7.5,"Medium",
tbl_Data2[[#This Row],[Final_Risk_Score]]&gt;=7.5,"High"
)</f>
        <v>Medium</v>
      </c>
      <c r="Q161" t="str" cm="1">
        <f t="array" ref="Q161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62" spans="1:17" hidden="1">
      <c r="A162" t="str">
        <f>tbl_data[[#This Row],[Customer_ID]]</f>
        <v>CUST-161</v>
      </c>
      <c r="B162" t="str">
        <f>tbl_data[[#This Row],[Customer_Type]]</f>
        <v>Individual</v>
      </c>
      <c r="C162" t="str">
        <f>tbl_data[[#This Row],[Country]]</f>
        <v>USA</v>
      </c>
      <c r="D162" t="str">
        <f>tbl_data[[#This Row],[Industry]]</f>
        <v>Manufacturing</v>
      </c>
      <c r="E162">
        <f>tbl_data[[#This Row],[Tx_Count_30D]]</f>
        <v>8</v>
      </c>
      <c r="F162">
        <f>tbl_data[[#This Row],[Total_Amount_30D]]</f>
        <v>27640</v>
      </c>
      <c r="G162">
        <f>tbl_data[[#This Row],[Avg_Tx_Count_6M]]</f>
        <v>11</v>
      </c>
      <c r="H162">
        <f>tbl_data[[#This Row],[Avg_Total_Amount_6M]]</f>
        <v>77533</v>
      </c>
      <c r="I162">
        <f>IFERROR(tbl_Data2[[#This Row],[Tx_Count_30D]]/tbl_Data2[[#This Row],[Avg_Tx_Count_6M]],0)</f>
        <v>0.72727272727272729</v>
      </c>
      <c r="J162">
        <f>IFERROR(tbl_Data2[[#This Row],[Total_Amount_30D]]/tbl_Data2[[#This Row],[Avg_Total_Amount_6M]],0)</f>
        <v>0.3564933641159248</v>
      </c>
      <c r="K162">
        <f>_xlfn.XLOOKUP(tbl_Data2[[#This Row],[Country]], Geo_Map[Country], Geo_Map[Score], 5)</f>
        <v>1</v>
      </c>
      <c r="L162" cm="1">
        <f t="array" ref="L162">_xlfn.IFS(tbl_Data2[[#This Row],[Tx_Count_30D]]&lt;=5,2,tbl_Data2[[#This Row],[Tx_Count_30D]]&lt;=15,5,tbl_Data2[[#This Row],[Tx_Count_30D]]&lt;=30,7,tbl_Data2[[#This Row],[Tx_Count_30D]]&gt;30,9)</f>
        <v>5</v>
      </c>
      <c r="M162" cm="1">
        <f t="array" ref="M162">_xlfn.IFS(
tbl_Data2[[#This Row],[Total_Amount_30D]]&lt;10000,2,
tbl_Data2[[#This Row],[Total_Amount_30D]]&lt;25000,5,
tbl_Data2[[#This Row],[Total_Amount_30D]]&lt;50000,7,
tbl_Data2[[#This Row],[Total_Amount_30D]]&gt;=50000,9
)</f>
        <v>7</v>
      </c>
      <c r="N162" cm="1">
        <f t="array" ref="N162">_xlfn.IFS(
tbl_Data2[[#This Row],[Amount_Deviation]]&lt;1.5,2,
tbl_Data2[[#This Row],[Amount_Deviation]]&lt;3,6,
tbl_Data2[[#This Row],[Amount_Deviation]]&lt;6,8,
tbl_Data2[[#This Row],[Amount_Deviation]]&gt;=6,10
)</f>
        <v>2</v>
      </c>
      <c r="O162">
        <f>ROUND(
    (tbl_Data2[[#This Row],[Geo_Score]]*0.2) +
    (tbl_Data2[[#This Row],[Velocity_Score]]*0.25) +
    (tbl_Data2[[#This Row],[Volume_Score]]*0.25) +
    (tbl_Data2[[#This Row],[Deviation_Score]]*0.3),
1
)</f>
        <v>3.8</v>
      </c>
      <c r="P162" t="str" cm="1">
        <f t="array" ref="P162">_xlfn.IFS(
tbl_Data2[[#This Row],[Final_Risk_Score]]&lt;5.5,"Low",
tbl_Data2[[#This Row],[Final_Risk_Score]]&lt;7.5,"Medium",
tbl_Data2[[#This Row],[Final_Risk_Score]]&gt;=7.5,"High"
)</f>
        <v>Low</v>
      </c>
      <c r="Q162" t="str" cm="1">
        <f t="array" ref="Q162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163" spans="1:17" hidden="1">
      <c r="A163" t="str">
        <f>tbl_data[[#This Row],[Customer_ID]]</f>
        <v>CUST-162</v>
      </c>
      <c r="B163" t="str">
        <f>tbl_data[[#This Row],[Customer_Type]]</f>
        <v>Business</v>
      </c>
      <c r="C163" t="str">
        <f>tbl_data[[#This Row],[Country]]</f>
        <v>Cyprus</v>
      </c>
      <c r="D163" t="str">
        <f>tbl_data[[#This Row],[Industry]]</f>
        <v>Trading</v>
      </c>
      <c r="E163">
        <f>tbl_data[[#This Row],[Tx_Count_30D]]</f>
        <v>31</v>
      </c>
      <c r="F163">
        <f>tbl_data[[#This Row],[Total_Amount_30D]]</f>
        <v>118260</v>
      </c>
      <c r="G163">
        <f>tbl_data[[#This Row],[Avg_Tx_Count_6M]]</f>
        <v>22</v>
      </c>
      <c r="H163">
        <f>tbl_data[[#This Row],[Avg_Total_Amount_6M]]</f>
        <v>65622</v>
      </c>
      <c r="I163">
        <f>IFERROR(tbl_Data2[[#This Row],[Tx_Count_30D]]/tbl_Data2[[#This Row],[Avg_Tx_Count_6M]],0)</f>
        <v>1.4090909090909092</v>
      </c>
      <c r="J163">
        <f>IFERROR(tbl_Data2[[#This Row],[Total_Amount_30D]]/tbl_Data2[[#This Row],[Avg_Total_Amount_6M]],0)</f>
        <v>1.8021395263783486</v>
      </c>
      <c r="K163">
        <f>_xlfn.XLOOKUP(tbl_Data2[[#This Row],[Country]], Geo_Map[Country], Geo_Map[Score], 5)</f>
        <v>7</v>
      </c>
      <c r="L163" cm="1">
        <f t="array" ref="L163">_xlfn.IFS(tbl_Data2[[#This Row],[Tx_Count_30D]]&lt;=5,2,tbl_Data2[[#This Row],[Tx_Count_30D]]&lt;=15,5,tbl_Data2[[#This Row],[Tx_Count_30D]]&lt;=30,7,tbl_Data2[[#This Row],[Tx_Count_30D]]&gt;30,9)</f>
        <v>9</v>
      </c>
      <c r="M163" cm="1">
        <f t="array" ref="M163">_xlfn.IFS(
tbl_Data2[[#This Row],[Total_Amount_30D]]&lt;10000,2,
tbl_Data2[[#This Row],[Total_Amount_30D]]&lt;25000,5,
tbl_Data2[[#This Row],[Total_Amount_30D]]&lt;50000,7,
tbl_Data2[[#This Row],[Total_Amount_30D]]&gt;=50000,9
)</f>
        <v>9</v>
      </c>
      <c r="N163" cm="1">
        <f t="array" ref="N163">_xlfn.IFS(
tbl_Data2[[#This Row],[Amount_Deviation]]&lt;1.5,2,
tbl_Data2[[#This Row],[Amount_Deviation]]&lt;3,6,
tbl_Data2[[#This Row],[Amount_Deviation]]&lt;6,8,
tbl_Data2[[#This Row],[Amount_Deviation]]&gt;=6,10
)</f>
        <v>6</v>
      </c>
      <c r="O163">
        <f>ROUND(
    (tbl_Data2[[#This Row],[Geo_Score]]*0.2) +
    (tbl_Data2[[#This Row],[Velocity_Score]]*0.25) +
    (tbl_Data2[[#This Row],[Volume_Score]]*0.25) +
    (tbl_Data2[[#This Row],[Deviation_Score]]*0.3),
1
)</f>
        <v>7.7</v>
      </c>
      <c r="P163" t="str" cm="1">
        <f t="array" ref="P163">_xlfn.IFS(
tbl_Data2[[#This Row],[Final_Risk_Score]]&lt;5.5,"Low",
tbl_Data2[[#This Row],[Final_Risk_Score]]&lt;7.5,"Medium",
tbl_Data2[[#This Row],[Final_Risk_Score]]&gt;=7.5,"High"
)</f>
        <v>High</v>
      </c>
      <c r="Q163" t="str" cm="1">
        <f t="array" ref="Q163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164" spans="1:17">
      <c r="A164" t="str">
        <f>tbl_data[[#This Row],[Customer_ID]]</f>
        <v>CUST-163</v>
      </c>
      <c r="B164" t="str">
        <f>tbl_data[[#This Row],[Customer_Type]]</f>
        <v>Business</v>
      </c>
      <c r="C164" t="str">
        <f>tbl_data[[#This Row],[Country]]</f>
        <v>BVI</v>
      </c>
      <c r="D164" t="str">
        <f>tbl_data[[#This Row],[Industry]]</f>
        <v>Manufacturing</v>
      </c>
      <c r="E164">
        <f>tbl_data[[#This Row],[Tx_Count_30D]]</f>
        <v>56</v>
      </c>
      <c r="F164">
        <f>tbl_data[[#This Row],[Total_Amount_30D]]</f>
        <v>28796</v>
      </c>
      <c r="G164">
        <f>tbl_data[[#This Row],[Avg_Tx_Count_6M]]</f>
        <v>31</v>
      </c>
      <c r="H164">
        <f>tbl_data[[#This Row],[Avg_Total_Amount_6M]]</f>
        <v>22623</v>
      </c>
      <c r="I164">
        <f>IFERROR(tbl_Data2[[#This Row],[Tx_Count_30D]]/tbl_Data2[[#This Row],[Avg_Tx_Count_6M]],0)</f>
        <v>1.8064516129032258</v>
      </c>
      <c r="J164">
        <f>IFERROR(tbl_Data2[[#This Row],[Total_Amount_30D]]/tbl_Data2[[#This Row],[Avg_Total_Amount_6M]],0)</f>
        <v>1.2728638995712329</v>
      </c>
      <c r="K164">
        <f>_xlfn.XLOOKUP(tbl_Data2[[#This Row],[Country]], Geo_Map[Country], Geo_Map[Score], 5)</f>
        <v>9</v>
      </c>
      <c r="L164" cm="1">
        <f t="array" ref="L164">_xlfn.IFS(tbl_Data2[[#This Row],[Tx_Count_30D]]&lt;=5,2,tbl_Data2[[#This Row],[Tx_Count_30D]]&lt;=15,5,tbl_Data2[[#This Row],[Tx_Count_30D]]&lt;=30,7,tbl_Data2[[#This Row],[Tx_Count_30D]]&gt;30,9)</f>
        <v>9</v>
      </c>
      <c r="M164" cm="1">
        <f t="array" ref="M164">_xlfn.IFS(
tbl_Data2[[#This Row],[Total_Amount_30D]]&lt;10000,2,
tbl_Data2[[#This Row],[Total_Amount_30D]]&lt;25000,5,
tbl_Data2[[#This Row],[Total_Amount_30D]]&lt;50000,7,
tbl_Data2[[#This Row],[Total_Amount_30D]]&gt;=50000,9
)</f>
        <v>7</v>
      </c>
      <c r="N164" cm="1">
        <f t="array" ref="N164">_xlfn.IFS(
tbl_Data2[[#This Row],[Amount_Deviation]]&lt;1.5,2,
tbl_Data2[[#This Row],[Amount_Deviation]]&lt;3,6,
tbl_Data2[[#This Row],[Amount_Deviation]]&lt;6,8,
tbl_Data2[[#This Row],[Amount_Deviation]]&gt;=6,10
)</f>
        <v>2</v>
      </c>
      <c r="O164">
        <f>ROUND(
    (tbl_Data2[[#This Row],[Geo_Score]]*0.2) +
    (tbl_Data2[[#This Row],[Velocity_Score]]*0.25) +
    (tbl_Data2[[#This Row],[Volume_Score]]*0.25) +
    (tbl_Data2[[#This Row],[Deviation_Score]]*0.3),
1
)</f>
        <v>6.4</v>
      </c>
      <c r="P164" t="str" cm="1">
        <f t="array" ref="P164">_xlfn.IFS(
tbl_Data2[[#This Row],[Final_Risk_Score]]&lt;5.5,"Low",
tbl_Data2[[#This Row],[Final_Risk_Score]]&lt;7.5,"Medium",
tbl_Data2[[#This Row],[Final_Risk_Score]]&gt;=7.5,"High"
)</f>
        <v>Medium</v>
      </c>
      <c r="Q164" t="str" cm="1">
        <f t="array" ref="Q164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65" spans="1:17" hidden="1">
      <c r="A165" t="str">
        <f>tbl_data[[#This Row],[Customer_ID]]</f>
        <v>CUST-164</v>
      </c>
      <c r="B165" t="str">
        <f>tbl_data[[#This Row],[Customer_Type]]</f>
        <v>Business</v>
      </c>
      <c r="C165" t="str">
        <f>tbl_data[[#This Row],[Country]]</f>
        <v>Hong Kong</v>
      </c>
      <c r="D165" t="str">
        <f>tbl_data[[#This Row],[Industry]]</f>
        <v>IT Services</v>
      </c>
      <c r="E165">
        <f>tbl_data[[#This Row],[Tx_Count_30D]]</f>
        <v>55</v>
      </c>
      <c r="F165">
        <f>tbl_data[[#This Row],[Total_Amount_30D]]</f>
        <v>103125</v>
      </c>
      <c r="G165">
        <f>tbl_data[[#This Row],[Avg_Tx_Count_6M]]</f>
        <v>23</v>
      </c>
      <c r="H165">
        <f>tbl_data[[#This Row],[Avg_Total_Amount_6M]]</f>
        <v>46774</v>
      </c>
      <c r="I165">
        <f>IFERROR(tbl_Data2[[#This Row],[Tx_Count_30D]]/tbl_Data2[[#This Row],[Avg_Tx_Count_6M]],0)</f>
        <v>2.3913043478260869</v>
      </c>
      <c r="J165">
        <f>IFERROR(tbl_Data2[[#This Row],[Total_Amount_30D]]/tbl_Data2[[#This Row],[Avg_Total_Amount_6M]],0)</f>
        <v>2.2047505024158722</v>
      </c>
      <c r="K165">
        <f>_xlfn.XLOOKUP(tbl_Data2[[#This Row],[Country]], Geo_Map[Country], Geo_Map[Score], 5)</f>
        <v>6</v>
      </c>
      <c r="L165" cm="1">
        <f t="array" ref="L165">_xlfn.IFS(tbl_Data2[[#This Row],[Tx_Count_30D]]&lt;=5,2,tbl_Data2[[#This Row],[Tx_Count_30D]]&lt;=15,5,tbl_Data2[[#This Row],[Tx_Count_30D]]&lt;=30,7,tbl_Data2[[#This Row],[Tx_Count_30D]]&gt;30,9)</f>
        <v>9</v>
      </c>
      <c r="M165" cm="1">
        <f t="array" ref="M165">_xlfn.IFS(
tbl_Data2[[#This Row],[Total_Amount_30D]]&lt;10000,2,
tbl_Data2[[#This Row],[Total_Amount_30D]]&lt;25000,5,
tbl_Data2[[#This Row],[Total_Amount_30D]]&lt;50000,7,
tbl_Data2[[#This Row],[Total_Amount_30D]]&gt;=50000,9
)</f>
        <v>9</v>
      </c>
      <c r="N165" cm="1">
        <f t="array" ref="N165">_xlfn.IFS(
tbl_Data2[[#This Row],[Amount_Deviation]]&lt;1.5,2,
tbl_Data2[[#This Row],[Amount_Deviation]]&lt;3,6,
tbl_Data2[[#This Row],[Amount_Deviation]]&lt;6,8,
tbl_Data2[[#This Row],[Amount_Deviation]]&gt;=6,10
)</f>
        <v>6</v>
      </c>
      <c r="O165">
        <f>ROUND(
    (tbl_Data2[[#This Row],[Geo_Score]]*0.2) +
    (tbl_Data2[[#This Row],[Velocity_Score]]*0.25) +
    (tbl_Data2[[#This Row],[Volume_Score]]*0.25) +
    (tbl_Data2[[#This Row],[Deviation_Score]]*0.3),
1
)</f>
        <v>7.5</v>
      </c>
      <c r="P165" t="str" cm="1">
        <f t="array" ref="P165">_xlfn.IFS(
tbl_Data2[[#This Row],[Final_Risk_Score]]&lt;5.5,"Low",
tbl_Data2[[#This Row],[Final_Risk_Score]]&lt;7.5,"Medium",
tbl_Data2[[#This Row],[Final_Risk_Score]]&gt;=7.5,"High"
)</f>
        <v>High</v>
      </c>
      <c r="Q165" t="str" cm="1">
        <f t="array" ref="Q165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166" spans="1:17" hidden="1">
      <c r="A166" t="str">
        <f>tbl_data[[#This Row],[Customer_ID]]</f>
        <v>CUST-165</v>
      </c>
      <c r="B166" t="str">
        <f>tbl_data[[#This Row],[Customer_Type]]</f>
        <v>Individual</v>
      </c>
      <c r="C166" t="str">
        <f>tbl_data[[#This Row],[Country]]</f>
        <v>Seychelles</v>
      </c>
      <c r="D166" t="str">
        <f>tbl_data[[#This Row],[Industry]]</f>
        <v>Trading</v>
      </c>
      <c r="E166">
        <f>tbl_data[[#This Row],[Tx_Count_30D]]</f>
        <v>15</v>
      </c>
      <c r="F166">
        <f>tbl_data[[#This Row],[Total_Amount_30D]]</f>
        <v>33403</v>
      </c>
      <c r="G166">
        <f>tbl_data[[#This Row],[Avg_Tx_Count_6M]]</f>
        <v>20</v>
      </c>
      <c r="H166">
        <f>tbl_data[[#This Row],[Avg_Total_Amount_6M]]</f>
        <v>42096</v>
      </c>
      <c r="I166">
        <f>IFERROR(tbl_Data2[[#This Row],[Tx_Count_30D]]/tbl_Data2[[#This Row],[Avg_Tx_Count_6M]],0)</f>
        <v>0.75</v>
      </c>
      <c r="J166">
        <f>IFERROR(tbl_Data2[[#This Row],[Total_Amount_30D]]/tbl_Data2[[#This Row],[Avg_Total_Amount_6M]],0)</f>
        <v>0.79349581908019762</v>
      </c>
      <c r="K166">
        <f>_xlfn.XLOOKUP(tbl_Data2[[#This Row],[Country]], Geo_Map[Country], Geo_Map[Score], 5)</f>
        <v>9</v>
      </c>
      <c r="L166" cm="1">
        <f t="array" ref="L166">_xlfn.IFS(tbl_Data2[[#This Row],[Tx_Count_30D]]&lt;=5,2,tbl_Data2[[#This Row],[Tx_Count_30D]]&lt;=15,5,tbl_Data2[[#This Row],[Tx_Count_30D]]&lt;=30,7,tbl_Data2[[#This Row],[Tx_Count_30D]]&gt;30,9)</f>
        <v>5</v>
      </c>
      <c r="M166" cm="1">
        <f t="array" ref="M166">_xlfn.IFS(
tbl_Data2[[#This Row],[Total_Amount_30D]]&lt;10000,2,
tbl_Data2[[#This Row],[Total_Amount_30D]]&lt;25000,5,
tbl_Data2[[#This Row],[Total_Amount_30D]]&lt;50000,7,
tbl_Data2[[#This Row],[Total_Amount_30D]]&gt;=50000,9
)</f>
        <v>7</v>
      </c>
      <c r="N166" cm="1">
        <f t="array" ref="N166">_xlfn.IFS(
tbl_Data2[[#This Row],[Amount_Deviation]]&lt;1.5,2,
tbl_Data2[[#This Row],[Amount_Deviation]]&lt;3,6,
tbl_Data2[[#This Row],[Amount_Deviation]]&lt;6,8,
tbl_Data2[[#This Row],[Amount_Deviation]]&gt;=6,10
)</f>
        <v>2</v>
      </c>
      <c r="O166">
        <f>ROUND(
    (tbl_Data2[[#This Row],[Geo_Score]]*0.2) +
    (tbl_Data2[[#This Row],[Velocity_Score]]*0.25) +
    (tbl_Data2[[#This Row],[Volume_Score]]*0.25) +
    (tbl_Data2[[#This Row],[Deviation_Score]]*0.3),
1
)</f>
        <v>5.4</v>
      </c>
      <c r="P166" t="str" cm="1">
        <f t="array" ref="P166">_xlfn.IFS(
tbl_Data2[[#This Row],[Final_Risk_Score]]&lt;5.5,"Low",
tbl_Data2[[#This Row],[Final_Risk_Score]]&lt;7.5,"Medium",
tbl_Data2[[#This Row],[Final_Risk_Score]]&gt;=7.5,"High"
)</f>
        <v>Low</v>
      </c>
      <c r="Q166" t="str" cm="1">
        <f t="array" ref="Q166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167" spans="1:17">
      <c r="A167" t="str">
        <f>tbl_data[[#This Row],[Customer_ID]]</f>
        <v>CUST-166</v>
      </c>
      <c r="B167" t="str">
        <f>tbl_data[[#This Row],[Customer_Type]]</f>
        <v>Individual</v>
      </c>
      <c r="C167" t="str">
        <f>tbl_data[[#This Row],[Country]]</f>
        <v>UAE</v>
      </c>
      <c r="D167" t="str">
        <f>tbl_data[[#This Row],[Industry]]</f>
        <v>Trading</v>
      </c>
      <c r="E167">
        <f>tbl_data[[#This Row],[Tx_Count_30D]]</f>
        <v>59</v>
      </c>
      <c r="F167">
        <f>tbl_data[[#This Row],[Total_Amount_30D]]</f>
        <v>75853</v>
      </c>
      <c r="G167">
        <f>tbl_data[[#This Row],[Avg_Tx_Count_6M]]</f>
        <v>16</v>
      </c>
      <c r="H167">
        <f>tbl_data[[#This Row],[Avg_Total_Amount_6M]]</f>
        <v>64314</v>
      </c>
      <c r="I167">
        <f>IFERROR(tbl_Data2[[#This Row],[Tx_Count_30D]]/tbl_Data2[[#This Row],[Avg_Tx_Count_6M]],0)</f>
        <v>3.6875</v>
      </c>
      <c r="J167">
        <f>IFERROR(tbl_Data2[[#This Row],[Total_Amount_30D]]/tbl_Data2[[#This Row],[Avg_Total_Amount_6M]],0)</f>
        <v>1.1794166122461673</v>
      </c>
      <c r="K167">
        <f>_xlfn.XLOOKUP(tbl_Data2[[#This Row],[Country]], Geo_Map[Country], Geo_Map[Score], 5)</f>
        <v>6</v>
      </c>
      <c r="L167" cm="1">
        <f t="array" ref="L167">_xlfn.IFS(tbl_Data2[[#This Row],[Tx_Count_30D]]&lt;=5,2,tbl_Data2[[#This Row],[Tx_Count_30D]]&lt;=15,5,tbl_Data2[[#This Row],[Tx_Count_30D]]&lt;=30,7,tbl_Data2[[#This Row],[Tx_Count_30D]]&gt;30,9)</f>
        <v>9</v>
      </c>
      <c r="M167" cm="1">
        <f t="array" ref="M167">_xlfn.IFS(
tbl_Data2[[#This Row],[Total_Amount_30D]]&lt;10000,2,
tbl_Data2[[#This Row],[Total_Amount_30D]]&lt;25000,5,
tbl_Data2[[#This Row],[Total_Amount_30D]]&lt;50000,7,
tbl_Data2[[#This Row],[Total_Amount_30D]]&gt;=50000,9
)</f>
        <v>9</v>
      </c>
      <c r="N167" cm="1">
        <f t="array" ref="N167">_xlfn.IFS(
tbl_Data2[[#This Row],[Amount_Deviation]]&lt;1.5,2,
tbl_Data2[[#This Row],[Amount_Deviation]]&lt;3,6,
tbl_Data2[[#This Row],[Amount_Deviation]]&lt;6,8,
tbl_Data2[[#This Row],[Amount_Deviation]]&gt;=6,10
)</f>
        <v>2</v>
      </c>
      <c r="O167">
        <f>ROUND(
    (tbl_Data2[[#This Row],[Geo_Score]]*0.2) +
    (tbl_Data2[[#This Row],[Velocity_Score]]*0.25) +
    (tbl_Data2[[#This Row],[Volume_Score]]*0.25) +
    (tbl_Data2[[#This Row],[Deviation_Score]]*0.3),
1
)</f>
        <v>6.3</v>
      </c>
      <c r="P167" t="str" cm="1">
        <f t="array" ref="P167">_xlfn.IFS(
tbl_Data2[[#This Row],[Final_Risk_Score]]&lt;5.5,"Low",
tbl_Data2[[#This Row],[Final_Risk_Score]]&lt;7.5,"Medium",
tbl_Data2[[#This Row],[Final_Risk_Score]]&gt;=7.5,"High"
)</f>
        <v>Medium</v>
      </c>
      <c r="Q167" t="str" cm="1">
        <f t="array" ref="Q167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68" spans="1:17">
      <c r="A168" t="str">
        <f>tbl_data[[#This Row],[Customer_ID]]</f>
        <v>CUST-167</v>
      </c>
      <c r="B168" t="str">
        <f>tbl_data[[#This Row],[Customer_Type]]</f>
        <v>Individual</v>
      </c>
      <c r="C168" t="str">
        <f>tbl_data[[#This Row],[Country]]</f>
        <v>Seychelles</v>
      </c>
      <c r="D168" t="str">
        <f>tbl_data[[#This Row],[Industry]]</f>
        <v>Manufacturing</v>
      </c>
      <c r="E168">
        <f>tbl_data[[#This Row],[Tx_Count_30D]]</f>
        <v>49</v>
      </c>
      <c r="F168">
        <f>tbl_data[[#This Row],[Total_Amount_30D]]</f>
        <v>27334</v>
      </c>
      <c r="G168">
        <f>tbl_data[[#This Row],[Avg_Tx_Count_6M]]</f>
        <v>6</v>
      </c>
      <c r="H168">
        <f>tbl_data[[#This Row],[Avg_Total_Amount_6M]]</f>
        <v>62288</v>
      </c>
      <c r="I168">
        <f>IFERROR(tbl_Data2[[#This Row],[Tx_Count_30D]]/tbl_Data2[[#This Row],[Avg_Tx_Count_6M]],0)</f>
        <v>8.1666666666666661</v>
      </c>
      <c r="J168">
        <f>IFERROR(tbl_Data2[[#This Row],[Total_Amount_30D]]/tbl_Data2[[#This Row],[Avg_Total_Amount_6M]],0)</f>
        <v>0.43883251990752631</v>
      </c>
      <c r="K168">
        <f>_xlfn.XLOOKUP(tbl_Data2[[#This Row],[Country]], Geo_Map[Country], Geo_Map[Score], 5)</f>
        <v>9</v>
      </c>
      <c r="L168" cm="1">
        <f t="array" ref="L168">_xlfn.IFS(tbl_Data2[[#This Row],[Tx_Count_30D]]&lt;=5,2,tbl_Data2[[#This Row],[Tx_Count_30D]]&lt;=15,5,tbl_Data2[[#This Row],[Tx_Count_30D]]&lt;=30,7,tbl_Data2[[#This Row],[Tx_Count_30D]]&gt;30,9)</f>
        <v>9</v>
      </c>
      <c r="M168" cm="1">
        <f t="array" ref="M168">_xlfn.IFS(
tbl_Data2[[#This Row],[Total_Amount_30D]]&lt;10000,2,
tbl_Data2[[#This Row],[Total_Amount_30D]]&lt;25000,5,
tbl_Data2[[#This Row],[Total_Amount_30D]]&lt;50000,7,
tbl_Data2[[#This Row],[Total_Amount_30D]]&gt;=50000,9
)</f>
        <v>7</v>
      </c>
      <c r="N168" cm="1">
        <f t="array" ref="N168">_xlfn.IFS(
tbl_Data2[[#This Row],[Amount_Deviation]]&lt;1.5,2,
tbl_Data2[[#This Row],[Amount_Deviation]]&lt;3,6,
tbl_Data2[[#This Row],[Amount_Deviation]]&lt;6,8,
tbl_Data2[[#This Row],[Amount_Deviation]]&gt;=6,10
)</f>
        <v>2</v>
      </c>
      <c r="O168">
        <f>ROUND(
    (tbl_Data2[[#This Row],[Geo_Score]]*0.2) +
    (tbl_Data2[[#This Row],[Velocity_Score]]*0.25) +
    (tbl_Data2[[#This Row],[Volume_Score]]*0.25) +
    (tbl_Data2[[#This Row],[Deviation_Score]]*0.3),
1
)</f>
        <v>6.4</v>
      </c>
      <c r="P168" t="str" cm="1">
        <f t="array" ref="P168">_xlfn.IFS(
tbl_Data2[[#This Row],[Final_Risk_Score]]&lt;5.5,"Low",
tbl_Data2[[#This Row],[Final_Risk_Score]]&lt;7.5,"Medium",
tbl_Data2[[#This Row],[Final_Risk_Score]]&gt;=7.5,"High"
)</f>
        <v>Medium</v>
      </c>
      <c r="Q168" t="str" cm="1">
        <f t="array" ref="Q168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69" spans="1:17">
      <c r="A169" t="str">
        <f>tbl_data[[#This Row],[Customer_ID]]</f>
        <v>CUST-168</v>
      </c>
      <c r="B169" t="str">
        <f>tbl_data[[#This Row],[Customer_Type]]</f>
        <v>Business</v>
      </c>
      <c r="C169" t="str">
        <f>tbl_data[[#This Row],[Country]]</f>
        <v>UAE</v>
      </c>
      <c r="D169" t="str">
        <f>tbl_data[[#This Row],[Industry]]</f>
        <v>Manufacturing</v>
      </c>
      <c r="E169">
        <f>tbl_data[[#This Row],[Tx_Count_30D]]</f>
        <v>52</v>
      </c>
      <c r="F169">
        <f>tbl_data[[#This Row],[Total_Amount_30D]]</f>
        <v>48778</v>
      </c>
      <c r="G169">
        <f>tbl_data[[#This Row],[Avg_Tx_Count_6M]]</f>
        <v>36</v>
      </c>
      <c r="H169">
        <f>tbl_data[[#This Row],[Avg_Total_Amount_6M]]</f>
        <v>49548</v>
      </c>
      <c r="I169">
        <f>IFERROR(tbl_Data2[[#This Row],[Tx_Count_30D]]/tbl_Data2[[#This Row],[Avg_Tx_Count_6M]],0)</f>
        <v>1.4444444444444444</v>
      </c>
      <c r="J169">
        <f>IFERROR(tbl_Data2[[#This Row],[Total_Amount_30D]]/tbl_Data2[[#This Row],[Avg_Total_Amount_6M]],0)</f>
        <v>0.9844595140066198</v>
      </c>
      <c r="K169">
        <f>_xlfn.XLOOKUP(tbl_Data2[[#This Row],[Country]], Geo_Map[Country], Geo_Map[Score], 5)</f>
        <v>6</v>
      </c>
      <c r="L169" cm="1">
        <f t="array" ref="L169">_xlfn.IFS(tbl_Data2[[#This Row],[Tx_Count_30D]]&lt;=5,2,tbl_Data2[[#This Row],[Tx_Count_30D]]&lt;=15,5,tbl_Data2[[#This Row],[Tx_Count_30D]]&lt;=30,7,tbl_Data2[[#This Row],[Tx_Count_30D]]&gt;30,9)</f>
        <v>9</v>
      </c>
      <c r="M169" cm="1">
        <f t="array" ref="M169">_xlfn.IFS(
tbl_Data2[[#This Row],[Total_Amount_30D]]&lt;10000,2,
tbl_Data2[[#This Row],[Total_Amount_30D]]&lt;25000,5,
tbl_Data2[[#This Row],[Total_Amount_30D]]&lt;50000,7,
tbl_Data2[[#This Row],[Total_Amount_30D]]&gt;=50000,9
)</f>
        <v>7</v>
      </c>
      <c r="N169" cm="1">
        <f t="array" ref="N169">_xlfn.IFS(
tbl_Data2[[#This Row],[Amount_Deviation]]&lt;1.5,2,
tbl_Data2[[#This Row],[Amount_Deviation]]&lt;3,6,
tbl_Data2[[#This Row],[Amount_Deviation]]&lt;6,8,
tbl_Data2[[#This Row],[Amount_Deviation]]&gt;=6,10
)</f>
        <v>2</v>
      </c>
      <c r="O169">
        <f>ROUND(
    (tbl_Data2[[#This Row],[Geo_Score]]*0.2) +
    (tbl_Data2[[#This Row],[Velocity_Score]]*0.25) +
    (tbl_Data2[[#This Row],[Volume_Score]]*0.25) +
    (tbl_Data2[[#This Row],[Deviation_Score]]*0.3),
1
)</f>
        <v>5.8</v>
      </c>
      <c r="P169" t="str" cm="1">
        <f t="array" ref="P169">_xlfn.IFS(
tbl_Data2[[#This Row],[Final_Risk_Score]]&lt;5.5,"Low",
tbl_Data2[[#This Row],[Final_Risk_Score]]&lt;7.5,"Medium",
tbl_Data2[[#This Row],[Final_Risk_Score]]&gt;=7.5,"High"
)</f>
        <v>Medium</v>
      </c>
      <c r="Q169" t="str" cm="1">
        <f t="array" ref="Q169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70" spans="1:17" hidden="1">
      <c r="A170" t="str">
        <f>tbl_data[[#This Row],[Customer_ID]]</f>
        <v>CUST-169</v>
      </c>
      <c r="B170" t="str">
        <f>tbl_data[[#This Row],[Customer_Type]]</f>
        <v>Business</v>
      </c>
      <c r="C170" t="str">
        <f>tbl_data[[#This Row],[Country]]</f>
        <v>BVI</v>
      </c>
      <c r="D170" t="str">
        <f>tbl_data[[#This Row],[Industry]]</f>
        <v>IT Services</v>
      </c>
      <c r="E170">
        <f>tbl_data[[#This Row],[Tx_Count_30D]]</f>
        <v>47</v>
      </c>
      <c r="F170">
        <f>tbl_data[[#This Row],[Total_Amount_30D]]</f>
        <v>3637</v>
      </c>
      <c r="G170">
        <f>tbl_data[[#This Row],[Avg_Tx_Count_6M]]</f>
        <v>5</v>
      </c>
      <c r="H170">
        <f>tbl_data[[#This Row],[Avg_Total_Amount_6M]]</f>
        <v>29682</v>
      </c>
      <c r="I170">
        <f>IFERROR(tbl_Data2[[#This Row],[Tx_Count_30D]]/tbl_Data2[[#This Row],[Avg_Tx_Count_6M]],0)</f>
        <v>9.4</v>
      </c>
      <c r="J170">
        <f>IFERROR(tbl_Data2[[#This Row],[Total_Amount_30D]]/tbl_Data2[[#This Row],[Avg_Total_Amount_6M]],0)</f>
        <v>0.1225321743817802</v>
      </c>
      <c r="K170">
        <f>_xlfn.XLOOKUP(tbl_Data2[[#This Row],[Country]], Geo_Map[Country], Geo_Map[Score], 5)</f>
        <v>9</v>
      </c>
      <c r="L170" cm="1">
        <f t="array" ref="L170">_xlfn.IFS(tbl_Data2[[#This Row],[Tx_Count_30D]]&lt;=5,2,tbl_Data2[[#This Row],[Tx_Count_30D]]&lt;=15,5,tbl_Data2[[#This Row],[Tx_Count_30D]]&lt;=30,7,tbl_Data2[[#This Row],[Tx_Count_30D]]&gt;30,9)</f>
        <v>9</v>
      </c>
      <c r="M170" cm="1">
        <f t="array" ref="M170">_xlfn.IFS(
tbl_Data2[[#This Row],[Total_Amount_30D]]&lt;10000,2,
tbl_Data2[[#This Row],[Total_Amount_30D]]&lt;25000,5,
tbl_Data2[[#This Row],[Total_Amount_30D]]&lt;50000,7,
tbl_Data2[[#This Row],[Total_Amount_30D]]&gt;=50000,9
)</f>
        <v>2</v>
      </c>
      <c r="N170" cm="1">
        <f t="array" ref="N170">_xlfn.IFS(
tbl_Data2[[#This Row],[Amount_Deviation]]&lt;1.5,2,
tbl_Data2[[#This Row],[Amount_Deviation]]&lt;3,6,
tbl_Data2[[#This Row],[Amount_Deviation]]&lt;6,8,
tbl_Data2[[#This Row],[Amount_Deviation]]&gt;=6,10
)</f>
        <v>2</v>
      </c>
      <c r="O170">
        <f>ROUND(
    (tbl_Data2[[#This Row],[Geo_Score]]*0.2) +
    (tbl_Data2[[#This Row],[Velocity_Score]]*0.25) +
    (tbl_Data2[[#This Row],[Volume_Score]]*0.25) +
    (tbl_Data2[[#This Row],[Deviation_Score]]*0.3),
1
)</f>
        <v>5.2</v>
      </c>
      <c r="P170" t="str" cm="1">
        <f t="array" ref="P170">_xlfn.IFS(
tbl_Data2[[#This Row],[Final_Risk_Score]]&lt;5.5,"Low",
tbl_Data2[[#This Row],[Final_Risk_Score]]&lt;7.5,"Medium",
tbl_Data2[[#This Row],[Final_Risk_Score]]&gt;=7.5,"High"
)</f>
        <v>Low</v>
      </c>
      <c r="Q170" t="str" cm="1">
        <f t="array" ref="Q170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171" spans="1:17">
      <c r="A171" t="str">
        <f>tbl_data[[#This Row],[Customer_ID]]</f>
        <v>CUST-170</v>
      </c>
      <c r="B171" t="str">
        <f>tbl_data[[#This Row],[Customer_Type]]</f>
        <v>Business</v>
      </c>
      <c r="C171" t="str">
        <f>tbl_data[[#This Row],[Country]]</f>
        <v>Cyprus</v>
      </c>
      <c r="D171" t="str">
        <f>tbl_data[[#This Row],[Industry]]</f>
        <v>Manufacturing</v>
      </c>
      <c r="E171">
        <f>tbl_data[[#This Row],[Tx_Count_30D]]</f>
        <v>13</v>
      </c>
      <c r="F171">
        <f>tbl_data[[#This Row],[Total_Amount_30D]]</f>
        <v>93178</v>
      </c>
      <c r="G171">
        <f>tbl_data[[#This Row],[Avg_Tx_Count_6M]]</f>
        <v>8</v>
      </c>
      <c r="H171">
        <f>tbl_data[[#This Row],[Avg_Total_Amount_6M]]</f>
        <v>77259</v>
      </c>
      <c r="I171">
        <f>IFERROR(tbl_Data2[[#This Row],[Tx_Count_30D]]/tbl_Data2[[#This Row],[Avg_Tx_Count_6M]],0)</f>
        <v>1.625</v>
      </c>
      <c r="J171">
        <f>IFERROR(tbl_Data2[[#This Row],[Total_Amount_30D]]/tbl_Data2[[#This Row],[Avg_Total_Amount_6M]],0)</f>
        <v>1.2060471919129163</v>
      </c>
      <c r="K171">
        <f>_xlfn.XLOOKUP(tbl_Data2[[#This Row],[Country]], Geo_Map[Country], Geo_Map[Score], 5)</f>
        <v>7</v>
      </c>
      <c r="L171" cm="1">
        <f t="array" ref="L171">_xlfn.IFS(tbl_Data2[[#This Row],[Tx_Count_30D]]&lt;=5,2,tbl_Data2[[#This Row],[Tx_Count_30D]]&lt;=15,5,tbl_Data2[[#This Row],[Tx_Count_30D]]&lt;=30,7,tbl_Data2[[#This Row],[Tx_Count_30D]]&gt;30,9)</f>
        <v>5</v>
      </c>
      <c r="M171" cm="1">
        <f t="array" ref="M171">_xlfn.IFS(
tbl_Data2[[#This Row],[Total_Amount_30D]]&lt;10000,2,
tbl_Data2[[#This Row],[Total_Amount_30D]]&lt;25000,5,
tbl_Data2[[#This Row],[Total_Amount_30D]]&lt;50000,7,
tbl_Data2[[#This Row],[Total_Amount_30D]]&gt;=50000,9
)</f>
        <v>9</v>
      </c>
      <c r="N171" cm="1">
        <f t="array" ref="N171">_xlfn.IFS(
tbl_Data2[[#This Row],[Amount_Deviation]]&lt;1.5,2,
tbl_Data2[[#This Row],[Amount_Deviation]]&lt;3,6,
tbl_Data2[[#This Row],[Amount_Deviation]]&lt;6,8,
tbl_Data2[[#This Row],[Amount_Deviation]]&gt;=6,10
)</f>
        <v>2</v>
      </c>
      <c r="O171">
        <f>ROUND(
    (tbl_Data2[[#This Row],[Geo_Score]]*0.2) +
    (tbl_Data2[[#This Row],[Velocity_Score]]*0.25) +
    (tbl_Data2[[#This Row],[Volume_Score]]*0.25) +
    (tbl_Data2[[#This Row],[Deviation_Score]]*0.3),
1
)</f>
        <v>5.5</v>
      </c>
      <c r="P171" t="str" cm="1">
        <f t="array" ref="P171">_xlfn.IFS(
tbl_Data2[[#This Row],[Final_Risk_Score]]&lt;5.5,"Low",
tbl_Data2[[#This Row],[Final_Risk_Score]]&lt;7.5,"Medium",
tbl_Data2[[#This Row],[Final_Risk_Score]]&gt;=7.5,"High"
)</f>
        <v>Medium</v>
      </c>
      <c r="Q171" t="str" cm="1">
        <f t="array" ref="Q171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72" spans="1:17">
      <c r="A172" t="str">
        <f>tbl_data[[#This Row],[Customer_ID]]</f>
        <v>CUST-171</v>
      </c>
      <c r="B172" t="str">
        <f>tbl_data[[#This Row],[Customer_Type]]</f>
        <v>Business</v>
      </c>
      <c r="C172" t="str">
        <f>tbl_data[[#This Row],[Country]]</f>
        <v>Seychelles</v>
      </c>
      <c r="D172" t="str">
        <f>tbl_data[[#This Row],[Industry]]</f>
        <v>Consulting</v>
      </c>
      <c r="E172">
        <f>tbl_data[[#This Row],[Tx_Count_30D]]</f>
        <v>49</v>
      </c>
      <c r="F172">
        <f>tbl_data[[#This Row],[Total_Amount_30D]]</f>
        <v>39544</v>
      </c>
      <c r="G172">
        <f>tbl_data[[#This Row],[Avg_Tx_Count_6M]]</f>
        <v>3</v>
      </c>
      <c r="H172">
        <f>tbl_data[[#This Row],[Avg_Total_Amount_6M]]</f>
        <v>53698</v>
      </c>
      <c r="I172">
        <f>IFERROR(tbl_Data2[[#This Row],[Tx_Count_30D]]/tbl_Data2[[#This Row],[Avg_Tx_Count_6M]],0)</f>
        <v>16.333333333333332</v>
      </c>
      <c r="J172">
        <f>IFERROR(tbl_Data2[[#This Row],[Total_Amount_30D]]/tbl_Data2[[#This Row],[Avg_Total_Amount_6M]],0)</f>
        <v>0.73641476405080264</v>
      </c>
      <c r="K172">
        <f>_xlfn.XLOOKUP(tbl_Data2[[#This Row],[Country]], Geo_Map[Country], Geo_Map[Score], 5)</f>
        <v>9</v>
      </c>
      <c r="L172" cm="1">
        <f t="array" ref="L172">_xlfn.IFS(tbl_Data2[[#This Row],[Tx_Count_30D]]&lt;=5,2,tbl_Data2[[#This Row],[Tx_Count_30D]]&lt;=15,5,tbl_Data2[[#This Row],[Tx_Count_30D]]&lt;=30,7,tbl_Data2[[#This Row],[Tx_Count_30D]]&gt;30,9)</f>
        <v>9</v>
      </c>
      <c r="M172" cm="1">
        <f t="array" ref="M172">_xlfn.IFS(
tbl_Data2[[#This Row],[Total_Amount_30D]]&lt;10000,2,
tbl_Data2[[#This Row],[Total_Amount_30D]]&lt;25000,5,
tbl_Data2[[#This Row],[Total_Amount_30D]]&lt;50000,7,
tbl_Data2[[#This Row],[Total_Amount_30D]]&gt;=50000,9
)</f>
        <v>7</v>
      </c>
      <c r="N172" cm="1">
        <f t="array" ref="N172">_xlfn.IFS(
tbl_Data2[[#This Row],[Amount_Deviation]]&lt;1.5,2,
tbl_Data2[[#This Row],[Amount_Deviation]]&lt;3,6,
tbl_Data2[[#This Row],[Amount_Deviation]]&lt;6,8,
tbl_Data2[[#This Row],[Amount_Deviation]]&gt;=6,10
)</f>
        <v>2</v>
      </c>
      <c r="O172">
        <f>ROUND(
    (tbl_Data2[[#This Row],[Geo_Score]]*0.2) +
    (tbl_Data2[[#This Row],[Velocity_Score]]*0.25) +
    (tbl_Data2[[#This Row],[Volume_Score]]*0.25) +
    (tbl_Data2[[#This Row],[Deviation_Score]]*0.3),
1
)</f>
        <v>6.4</v>
      </c>
      <c r="P172" t="str" cm="1">
        <f t="array" ref="P172">_xlfn.IFS(
tbl_Data2[[#This Row],[Final_Risk_Score]]&lt;5.5,"Low",
tbl_Data2[[#This Row],[Final_Risk_Score]]&lt;7.5,"Medium",
tbl_Data2[[#This Row],[Final_Risk_Score]]&gt;=7.5,"High"
)</f>
        <v>Medium</v>
      </c>
      <c r="Q172" t="str" cm="1">
        <f t="array" ref="Q172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73" spans="1:17">
      <c r="A173" t="str">
        <f>tbl_data[[#This Row],[Customer_ID]]</f>
        <v>CUST-172</v>
      </c>
      <c r="B173" t="str">
        <f>tbl_data[[#This Row],[Customer_Type]]</f>
        <v>Business</v>
      </c>
      <c r="C173" t="str">
        <f>tbl_data[[#This Row],[Country]]</f>
        <v>BVI</v>
      </c>
      <c r="D173" t="str">
        <f>tbl_data[[#This Row],[Industry]]</f>
        <v>Manufacturing</v>
      </c>
      <c r="E173">
        <f>tbl_data[[#This Row],[Tx_Count_30D]]</f>
        <v>13</v>
      </c>
      <c r="F173">
        <f>tbl_data[[#This Row],[Total_Amount_30D]]</f>
        <v>116490</v>
      </c>
      <c r="G173">
        <f>tbl_data[[#This Row],[Avg_Tx_Count_6M]]</f>
        <v>16</v>
      </c>
      <c r="H173">
        <f>tbl_data[[#This Row],[Avg_Total_Amount_6M]]</f>
        <v>40759</v>
      </c>
      <c r="I173">
        <f>IFERROR(tbl_Data2[[#This Row],[Tx_Count_30D]]/tbl_Data2[[#This Row],[Avg_Tx_Count_6M]],0)</f>
        <v>0.8125</v>
      </c>
      <c r="J173">
        <f>IFERROR(tbl_Data2[[#This Row],[Total_Amount_30D]]/tbl_Data2[[#This Row],[Avg_Total_Amount_6M]],0)</f>
        <v>2.8580190878088274</v>
      </c>
      <c r="K173">
        <f>_xlfn.XLOOKUP(tbl_Data2[[#This Row],[Country]], Geo_Map[Country], Geo_Map[Score], 5)</f>
        <v>9</v>
      </c>
      <c r="L173" cm="1">
        <f t="array" ref="L173">_xlfn.IFS(tbl_Data2[[#This Row],[Tx_Count_30D]]&lt;=5,2,tbl_Data2[[#This Row],[Tx_Count_30D]]&lt;=15,5,tbl_Data2[[#This Row],[Tx_Count_30D]]&lt;=30,7,tbl_Data2[[#This Row],[Tx_Count_30D]]&gt;30,9)</f>
        <v>5</v>
      </c>
      <c r="M173" cm="1">
        <f t="array" ref="M173">_xlfn.IFS(
tbl_Data2[[#This Row],[Total_Amount_30D]]&lt;10000,2,
tbl_Data2[[#This Row],[Total_Amount_30D]]&lt;25000,5,
tbl_Data2[[#This Row],[Total_Amount_30D]]&lt;50000,7,
tbl_Data2[[#This Row],[Total_Amount_30D]]&gt;=50000,9
)</f>
        <v>9</v>
      </c>
      <c r="N173" cm="1">
        <f t="array" ref="N173">_xlfn.IFS(
tbl_Data2[[#This Row],[Amount_Deviation]]&lt;1.5,2,
tbl_Data2[[#This Row],[Amount_Deviation]]&lt;3,6,
tbl_Data2[[#This Row],[Amount_Deviation]]&lt;6,8,
tbl_Data2[[#This Row],[Amount_Deviation]]&gt;=6,10
)</f>
        <v>6</v>
      </c>
      <c r="O173">
        <f>ROUND(
    (tbl_Data2[[#This Row],[Geo_Score]]*0.2) +
    (tbl_Data2[[#This Row],[Velocity_Score]]*0.25) +
    (tbl_Data2[[#This Row],[Volume_Score]]*0.25) +
    (tbl_Data2[[#This Row],[Deviation_Score]]*0.3),
1
)</f>
        <v>7.1</v>
      </c>
      <c r="P173" t="str" cm="1">
        <f t="array" ref="P173">_xlfn.IFS(
tbl_Data2[[#This Row],[Final_Risk_Score]]&lt;5.5,"Low",
tbl_Data2[[#This Row],[Final_Risk_Score]]&lt;7.5,"Medium",
tbl_Data2[[#This Row],[Final_Risk_Score]]&gt;=7.5,"High"
)</f>
        <v>Medium</v>
      </c>
      <c r="Q173" t="str" cm="1">
        <f t="array" ref="Q173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74" spans="1:17">
      <c r="A174" t="str">
        <f>tbl_data[[#This Row],[Customer_ID]]</f>
        <v>CUST-173</v>
      </c>
      <c r="B174" t="str">
        <f>tbl_data[[#This Row],[Customer_Type]]</f>
        <v>Business</v>
      </c>
      <c r="C174" t="str">
        <f>tbl_data[[#This Row],[Country]]</f>
        <v>Panama</v>
      </c>
      <c r="D174" t="str">
        <f>tbl_data[[#This Row],[Industry]]</f>
        <v>IT Services</v>
      </c>
      <c r="E174">
        <f>tbl_data[[#This Row],[Tx_Count_30D]]</f>
        <v>38</v>
      </c>
      <c r="F174">
        <f>tbl_data[[#This Row],[Total_Amount_30D]]</f>
        <v>48083</v>
      </c>
      <c r="G174">
        <f>tbl_data[[#This Row],[Avg_Tx_Count_6M]]</f>
        <v>38</v>
      </c>
      <c r="H174">
        <f>tbl_data[[#This Row],[Avg_Total_Amount_6M]]</f>
        <v>41841</v>
      </c>
      <c r="I174">
        <f>IFERROR(tbl_Data2[[#This Row],[Tx_Count_30D]]/tbl_Data2[[#This Row],[Avg_Tx_Count_6M]],0)</f>
        <v>1</v>
      </c>
      <c r="J174">
        <f>IFERROR(tbl_Data2[[#This Row],[Total_Amount_30D]]/tbl_Data2[[#This Row],[Avg_Total_Amount_6M]],0)</f>
        <v>1.1491838149183815</v>
      </c>
      <c r="K174">
        <f>_xlfn.XLOOKUP(tbl_Data2[[#This Row],[Country]], Geo_Map[Country], Geo_Map[Score], 5)</f>
        <v>8</v>
      </c>
      <c r="L174" cm="1">
        <f t="array" ref="L174">_xlfn.IFS(tbl_Data2[[#This Row],[Tx_Count_30D]]&lt;=5,2,tbl_Data2[[#This Row],[Tx_Count_30D]]&lt;=15,5,tbl_Data2[[#This Row],[Tx_Count_30D]]&lt;=30,7,tbl_Data2[[#This Row],[Tx_Count_30D]]&gt;30,9)</f>
        <v>9</v>
      </c>
      <c r="M174" cm="1">
        <f t="array" ref="M174">_xlfn.IFS(
tbl_Data2[[#This Row],[Total_Amount_30D]]&lt;10000,2,
tbl_Data2[[#This Row],[Total_Amount_30D]]&lt;25000,5,
tbl_Data2[[#This Row],[Total_Amount_30D]]&lt;50000,7,
tbl_Data2[[#This Row],[Total_Amount_30D]]&gt;=50000,9
)</f>
        <v>7</v>
      </c>
      <c r="N174" cm="1">
        <f t="array" ref="N174">_xlfn.IFS(
tbl_Data2[[#This Row],[Amount_Deviation]]&lt;1.5,2,
tbl_Data2[[#This Row],[Amount_Deviation]]&lt;3,6,
tbl_Data2[[#This Row],[Amount_Deviation]]&lt;6,8,
tbl_Data2[[#This Row],[Amount_Deviation]]&gt;=6,10
)</f>
        <v>2</v>
      </c>
      <c r="O174">
        <f>ROUND(
    (tbl_Data2[[#This Row],[Geo_Score]]*0.2) +
    (tbl_Data2[[#This Row],[Velocity_Score]]*0.25) +
    (tbl_Data2[[#This Row],[Volume_Score]]*0.25) +
    (tbl_Data2[[#This Row],[Deviation_Score]]*0.3),
1
)</f>
        <v>6.2</v>
      </c>
      <c r="P174" t="str" cm="1">
        <f t="array" ref="P174">_xlfn.IFS(
tbl_Data2[[#This Row],[Final_Risk_Score]]&lt;5.5,"Low",
tbl_Data2[[#This Row],[Final_Risk_Score]]&lt;7.5,"Medium",
tbl_Data2[[#This Row],[Final_Risk_Score]]&gt;=7.5,"High"
)</f>
        <v>Medium</v>
      </c>
      <c r="Q174" t="str" cm="1">
        <f t="array" ref="Q174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75" spans="1:17">
      <c r="A175" t="str">
        <f>tbl_data[[#This Row],[Customer_ID]]</f>
        <v>CUST-174</v>
      </c>
      <c r="B175" t="str">
        <f>tbl_data[[#This Row],[Customer_Type]]</f>
        <v>Business</v>
      </c>
      <c r="C175" t="str">
        <f>tbl_data[[#This Row],[Country]]</f>
        <v>Cyprus</v>
      </c>
      <c r="D175" t="str">
        <f>tbl_data[[#This Row],[Industry]]</f>
        <v>Logistics</v>
      </c>
      <c r="E175">
        <f>tbl_data[[#This Row],[Tx_Count_30D]]</f>
        <v>47</v>
      </c>
      <c r="F175">
        <f>tbl_data[[#This Row],[Total_Amount_30D]]</f>
        <v>35679</v>
      </c>
      <c r="G175">
        <f>tbl_data[[#This Row],[Avg_Tx_Count_6M]]</f>
        <v>18</v>
      </c>
      <c r="H175">
        <f>tbl_data[[#This Row],[Avg_Total_Amount_6M]]</f>
        <v>56092</v>
      </c>
      <c r="I175">
        <f>IFERROR(tbl_Data2[[#This Row],[Tx_Count_30D]]/tbl_Data2[[#This Row],[Avg_Tx_Count_6M]],0)</f>
        <v>2.6111111111111112</v>
      </c>
      <c r="J175">
        <f>IFERROR(tbl_Data2[[#This Row],[Total_Amount_30D]]/tbl_Data2[[#This Row],[Avg_Total_Amount_6M]],0)</f>
        <v>0.63608001140982673</v>
      </c>
      <c r="K175">
        <f>_xlfn.XLOOKUP(tbl_Data2[[#This Row],[Country]], Geo_Map[Country], Geo_Map[Score], 5)</f>
        <v>7</v>
      </c>
      <c r="L175" cm="1">
        <f t="array" ref="L175">_xlfn.IFS(tbl_Data2[[#This Row],[Tx_Count_30D]]&lt;=5,2,tbl_Data2[[#This Row],[Tx_Count_30D]]&lt;=15,5,tbl_Data2[[#This Row],[Tx_Count_30D]]&lt;=30,7,tbl_Data2[[#This Row],[Tx_Count_30D]]&gt;30,9)</f>
        <v>9</v>
      </c>
      <c r="M175" cm="1">
        <f t="array" ref="M175">_xlfn.IFS(
tbl_Data2[[#This Row],[Total_Amount_30D]]&lt;10000,2,
tbl_Data2[[#This Row],[Total_Amount_30D]]&lt;25000,5,
tbl_Data2[[#This Row],[Total_Amount_30D]]&lt;50000,7,
tbl_Data2[[#This Row],[Total_Amount_30D]]&gt;=50000,9
)</f>
        <v>7</v>
      </c>
      <c r="N175" cm="1">
        <f t="array" ref="N175">_xlfn.IFS(
tbl_Data2[[#This Row],[Amount_Deviation]]&lt;1.5,2,
tbl_Data2[[#This Row],[Amount_Deviation]]&lt;3,6,
tbl_Data2[[#This Row],[Amount_Deviation]]&lt;6,8,
tbl_Data2[[#This Row],[Amount_Deviation]]&gt;=6,10
)</f>
        <v>2</v>
      </c>
      <c r="O175">
        <f>ROUND(
    (tbl_Data2[[#This Row],[Geo_Score]]*0.2) +
    (tbl_Data2[[#This Row],[Velocity_Score]]*0.25) +
    (tbl_Data2[[#This Row],[Volume_Score]]*0.25) +
    (tbl_Data2[[#This Row],[Deviation_Score]]*0.3),
1
)</f>
        <v>6</v>
      </c>
      <c r="P175" t="str" cm="1">
        <f t="array" ref="P175">_xlfn.IFS(
tbl_Data2[[#This Row],[Final_Risk_Score]]&lt;5.5,"Low",
tbl_Data2[[#This Row],[Final_Risk_Score]]&lt;7.5,"Medium",
tbl_Data2[[#This Row],[Final_Risk_Score]]&gt;=7.5,"High"
)</f>
        <v>Medium</v>
      </c>
      <c r="Q175" t="str" cm="1">
        <f t="array" ref="Q175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76" spans="1:17" hidden="1">
      <c r="A176" t="str">
        <f>tbl_data[[#This Row],[Customer_ID]]</f>
        <v>CUST-175</v>
      </c>
      <c r="B176" t="str">
        <f>tbl_data[[#This Row],[Customer_Type]]</f>
        <v>Business</v>
      </c>
      <c r="C176" t="str">
        <f>tbl_data[[#This Row],[Country]]</f>
        <v>Panama</v>
      </c>
      <c r="D176" t="str">
        <f>tbl_data[[#This Row],[Industry]]</f>
        <v>Logistics</v>
      </c>
      <c r="E176">
        <f>tbl_data[[#This Row],[Tx_Count_30D]]</f>
        <v>51</v>
      </c>
      <c r="F176">
        <f>tbl_data[[#This Row],[Total_Amount_30D]]</f>
        <v>68391</v>
      </c>
      <c r="G176">
        <f>tbl_data[[#This Row],[Avg_Tx_Count_6M]]</f>
        <v>9</v>
      </c>
      <c r="H176">
        <f>tbl_data[[#This Row],[Avg_Total_Amount_6M]]</f>
        <v>30161</v>
      </c>
      <c r="I176">
        <f>IFERROR(tbl_Data2[[#This Row],[Tx_Count_30D]]/tbl_Data2[[#This Row],[Avg_Tx_Count_6M]],0)</f>
        <v>5.666666666666667</v>
      </c>
      <c r="J176">
        <f>IFERROR(tbl_Data2[[#This Row],[Total_Amount_30D]]/tbl_Data2[[#This Row],[Avg_Total_Amount_6M]],0)</f>
        <v>2.2675309174099003</v>
      </c>
      <c r="K176">
        <f>_xlfn.XLOOKUP(tbl_Data2[[#This Row],[Country]], Geo_Map[Country], Geo_Map[Score], 5)</f>
        <v>8</v>
      </c>
      <c r="L176" cm="1">
        <f t="array" ref="L176">_xlfn.IFS(tbl_Data2[[#This Row],[Tx_Count_30D]]&lt;=5,2,tbl_Data2[[#This Row],[Tx_Count_30D]]&lt;=15,5,tbl_Data2[[#This Row],[Tx_Count_30D]]&lt;=30,7,tbl_Data2[[#This Row],[Tx_Count_30D]]&gt;30,9)</f>
        <v>9</v>
      </c>
      <c r="M176" cm="1">
        <f t="array" ref="M176">_xlfn.IFS(
tbl_Data2[[#This Row],[Total_Amount_30D]]&lt;10000,2,
tbl_Data2[[#This Row],[Total_Amount_30D]]&lt;25000,5,
tbl_Data2[[#This Row],[Total_Amount_30D]]&lt;50000,7,
tbl_Data2[[#This Row],[Total_Amount_30D]]&gt;=50000,9
)</f>
        <v>9</v>
      </c>
      <c r="N176" cm="1">
        <f t="array" ref="N176">_xlfn.IFS(
tbl_Data2[[#This Row],[Amount_Deviation]]&lt;1.5,2,
tbl_Data2[[#This Row],[Amount_Deviation]]&lt;3,6,
tbl_Data2[[#This Row],[Amount_Deviation]]&lt;6,8,
tbl_Data2[[#This Row],[Amount_Deviation]]&gt;=6,10
)</f>
        <v>6</v>
      </c>
      <c r="O176">
        <f>ROUND(
    (tbl_Data2[[#This Row],[Geo_Score]]*0.2) +
    (tbl_Data2[[#This Row],[Velocity_Score]]*0.25) +
    (tbl_Data2[[#This Row],[Volume_Score]]*0.25) +
    (tbl_Data2[[#This Row],[Deviation_Score]]*0.3),
1
)</f>
        <v>7.9</v>
      </c>
      <c r="P176" t="str" cm="1">
        <f t="array" ref="P176">_xlfn.IFS(
tbl_Data2[[#This Row],[Final_Risk_Score]]&lt;5.5,"Low",
tbl_Data2[[#This Row],[Final_Risk_Score]]&lt;7.5,"Medium",
tbl_Data2[[#This Row],[Final_Risk_Score]]&gt;=7.5,"High"
)</f>
        <v>High</v>
      </c>
      <c r="Q176" t="str" cm="1">
        <f t="array" ref="Q176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177" spans="1:17" hidden="1">
      <c r="A177" t="str">
        <f>tbl_data[[#This Row],[Customer_ID]]</f>
        <v>CUST-176</v>
      </c>
      <c r="B177" t="str">
        <f>tbl_data[[#This Row],[Customer_Type]]</f>
        <v>Business</v>
      </c>
      <c r="C177" t="str">
        <f>tbl_data[[#This Row],[Country]]</f>
        <v>UAE</v>
      </c>
      <c r="D177" t="str">
        <f>tbl_data[[#This Row],[Industry]]</f>
        <v>Manufacturing</v>
      </c>
      <c r="E177">
        <f>tbl_data[[#This Row],[Tx_Count_30D]]</f>
        <v>13</v>
      </c>
      <c r="F177">
        <f>tbl_data[[#This Row],[Total_Amount_30D]]</f>
        <v>5509</v>
      </c>
      <c r="G177">
        <f>tbl_data[[#This Row],[Avg_Tx_Count_6M]]</f>
        <v>23</v>
      </c>
      <c r="H177">
        <f>tbl_data[[#This Row],[Avg_Total_Amount_6M]]</f>
        <v>43187</v>
      </c>
      <c r="I177">
        <f>IFERROR(tbl_Data2[[#This Row],[Tx_Count_30D]]/tbl_Data2[[#This Row],[Avg_Tx_Count_6M]],0)</f>
        <v>0.56521739130434778</v>
      </c>
      <c r="J177">
        <f>IFERROR(tbl_Data2[[#This Row],[Total_Amount_30D]]/tbl_Data2[[#This Row],[Avg_Total_Amount_6M]],0)</f>
        <v>0.12756153472109663</v>
      </c>
      <c r="K177">
        <f>_xlfn.XLOOKUP(tbl_Data2[[#This Row],[Country]], Geo_Map[Country], Geo_Map[Score], 5)</f>
        <v>6</v>
      </c>
      <c r="L177" cm="1">
        <f t="array" ref="L177">_xlfn.IFS(tbl_Data2[[#This Row],[Tx_Count_30D]]&lt;=5,2,tbl_Data2[[#This Row],[Tx_Count_30D]]&lt;=15,5,tbl_Data2[[#This Row],[Tx_Count_30D]]&lt;=30,7,tbl_Data2[[#This Row],[Tx_Count_30D]]&gt;30,9)</f>
        <v>5</v>
      </c>
      <c r="M177" cm="1">
        <f t="array" ref="M177">_xlfn.IFS(
tbl_Data2[[#This Row],[Total_Amount_30D]]&lt;10000,2,
tbl_Data2[[#This Row],[Total_Amount_30D]]&lt;25000,5,
tbl_Data2[[#This Row],[Total_Amount_30D]]&lt;50000,7,
tbl_Data2[[#This Row],[Total_Amount_30D]]&gt;=50000,9
)</f>
        <v>2</v>
      </c>
      <c r="N177" cm="1">
        <f t="array" ref="N177">_xlfn.IFS(
tbl_Data2[[#This Row],[Amount_Deviation]]&lt;1.5,2,
tbl_Data2[[#This Row],[Amount_Deviation]]&lt;3,6,
tbl_Data2[[#This Row],[Amount_Deviation]]&lt;6,8,
tbl_Data2[[#This Row],[Amount_Deviation]]&gt;=6,10
)</f>
        <v>2</v>
      </c>
      <c r="O177">
        <f>ROUND(
    (tbl_Data2[[#This Row],[Geo_Score]]*0.2) +
    (tbl_Data2[[#This Row],[Velocity_Score]]*0.25) +
    (tbl_Data2[[#This Row],[Volume_Score]]*0.25) +
    (tbl_Data2[[#This Row],[Deviation_Score]]*0.3),
1
)</f>
        <v>3.6</v>
      </c>
      <c r="P177" t="str" cm="1">
        <f t="array" ref="P177">_xlfn.IFS(
tbl_Data2[[#This Row],[Final_Risk_Score]]&lt;5.5,"Low",
tbl_Data2[[#This Row],[Final_Risk_Score]]&lt;7.5,"Medium",
tbl_Data2[[#This Row],[Final_Risk_Score]]&gt;=7.5,"High"
)</f>
        <v>Low</v>
      </c>
      <c r="Q177" t="str" cm="1">
        <f t="array" ref="Q177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178" spans="1:17" hidden="1">
      <c r="A178" t="str">
        <f>tbl_data[[#This Row],[Customer_ID]]</f>
        <v>CUST-177</v>
      </c>
      <c r="B178" t="str">
        <f>tbl_data[[#This Row],[Customer_Type]]</f>
        <v>Individual</v>
      </c>
      <c r="C178" t="str">
        <f>tbl_data[[#This Row],[Country]]</f>
        <v>BVI</v>
      </c>
      <c r="D178" t="str">
        <f>tbl_data[[#This Row],[Industry]]</f>
        <v>Consulting</v>
      </c>
      <c r="E178">
        <f>tbl_data[[#This Row],[Tx_Count_30D]]</f>
        <v>24</v>
      </c>
      <c r="F178">
        <f>tbl_data[[#This Row],[Total_Amount_30D]]</f>
        <v>8013</v>
      </c>
      <c r="G178">
        <f>tbl_data[[#This Row],[Avg_Tx_Count_6M]]</f>
        <v>6</v>
      </c>
      <c r="H178">
        <f>tbl_data[[#This Row],[Avg_Total_Amount_6M]]</f>
        <v>32985</v>
      </c>
      <c r="I178">
        <f>IFERROR(tbl_Data2[[#This Row],[Tx_Count_30D]]/tbl_Data2[[#This Row],[Avg_Tx_Count_6M]],0)</f>
        <v>4</v>
      </c>
      <c r="J178">
        <f>IFERROR(tbl_Data2[[#This Row],[Total_Amount_30D]]/tbl_Data2[[#This Row],[Avg_Total_Amount_6M]],0)</f>
        <v>0.24292860391086857</v>
      </c>
      <c r="K178">
        <f>_xlfn.XLOOKUP(tbl_Data2[[#This Row],[Country]], Geo_Map[Country], Geo_Map[Score], 5)</f>
        <v>9</v>
      </c>
      <c r="L178" cm="1">
        <f t="array" ref="L178">_xlfn.IFS(tbl_Data2[[#This Row],[Tx_Count_30D]]&lt;=5,2,tbl_Data2[[#This Row],[Tx_Count_30D]]&lt;=15,5,tbl_Data2[[#This Row],[Tx_Count_30D]]&lt;=30,7,tbl_Data2[[#This Row],[Tx_Count_30D]]&gt;30,9)</f>
        <v>7</v>
      </c>
      <c r="M178" cm="1">
        <f t="array" ref="M178">_xlfn.IFS(
tbl_Data2[[#This Row],[Total_Amount_30D]]&lt;10000,2,
tbl_Data2[[#This Row],[Total_Amount_30D]]&lt;25000,5,
tbl_Data2[[#This Row],[Total_Amount_30D]]&lt;50000,7,
tbl_Data2[[#This Row],[Total_Amount_30D]]&gt;=50000,9
)</f>
        <v>2</v>
      </c>
      <c r="N178" cm="1">
        <f t="array" ref="N178">_xlfn.IFS(
tbl_Data2[[#This Row],[Amount_Deviation]]&lt;1.5,2,
tbl_Data2[[#This Row],[Amount_Deviation]]&lt;3,6,
tbl_Data2[[#This Row],[Amount_Deviation]]&lt;6,8,
tbl_Data2[[#This Row],[Amount_Deviation]]&gt;=6,10
)</f>
        <v>2</v>
      </c>
      <c r="O178">
        <f>ROUND(
    (tbl_Data2[[#This Row],[Geo_Score]]*0.2) +
    (tbl_Data2[[#This Row],[Velocity_Score]]*0.25) +
    (tbl_Data2[[#This Row],[Volume_Score]]*0.25) +
    (tbl_Data2[[#This Row],[Deviation_Score]]*0.3),
1
)</f>
        <v>4.7</v>
      </c>
      <c r="P178" t="str" cm="1">
        <f t="array" ref="P178">_xlfn.IFS(
tbl_Data2[[#This Row],[Final_Risk_Score]]&lt;5.5,"Low",
tbl_Data2[[#This Row],[Final_Risk_Score]]&lt;7.5,"Medium",
tbl_Data2[[#This Row],[Final_Risk_Score]]&gt;=7.5,"High"
)</f>
        <v>Low</v>
      </c>
      <c r="Q178" t="str" cm="1">
        <f t="array" ref="Q178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179" spans="1:17" hidden="1">
      <c r="A179" t="str">
        <f>tbl_data[[#This Row],[Customer_ID]]</f>
        <v>CUST-178</v>
      </c>
      <c r="B179" t="str">
        <f>tbl_data[[#This Row],[Customer_Type]]</f>
        <v>Business</v>
      </c>
      <c r="C179" t="str">
        <f>tbl_data[[#This Row],[Country]]</f>
        <v>USA</v>
      </c>
      <c r="D179" t="str">
        <f>tbl_data[[#This Row],[Industry]]</f>
        <v>Manufacturing</v>
      </c>
      <c r="E179">
        <f>tbl_data[[#This Row],[Tx_Count_30D]]</f>
        <v>30</v>
      </c>
      <c r="F179">
        <f>tbl_data[[#This Row],[Total_Amount_30D]]</f>
        <v>28140</v>
      </c>
      <c r="G179">
        <f>tbl_data[[#This Row],[Avg_Tx_Count_6M]]</f>
        <v>40</v>
      </c>
      <c r="H179">
        <f>tbl_data[[#This Row],[Avg_Total_Amount_6M]]</f>
        <v>32013</v>
      </c>
      <c r="I179">
        <f>IFERROR(tbl_Data2[[#This Row],[Tx_Count_30D]]/tbl_Data2[[#This Row],[Avg_Tx_Count_6M]],0)</f>
        <v>0.75</v>
      </c>
      <c r="J179">
        <f>IFERROR(tbl_Data2[[#This Row],[Total_Amount_30D]]/tbl_Data2[[#This Row],[Avg_Total_Amount_6M]],0)</f>
        <v>0.87901789897853999</v>
      </c>
      <c r="K179">
        <f>_xlfn.XLOOKUP(tbl_Data2[[#This Row],[Country]], Geo_Map[Country], Geo_Map[Score], 5)</f>
        <v>1</v>
      </c>
      <c r="L179" cm="1">
        <f t="array" ref="L179">_xlfn.IFS(tbl_Data2[[#This Row],[Tx_Count_30D]]&lt;=5,2,tbl_Data2[[#This Row],[Tx_Count_30D]]&lt;=15,5,tbl_Data2[[#This Row],[Tx_Count_30D]]&lt;=30,7,tbl_Data2[[#This Row],[Tx_Count_30D]]&gt;30,9)</f>
        <v>7</v>
      </c>
      <c r="M179" cm="1">
        <f t="array" ref="M179">_xlfn.IFS(
tbl_Data2[[#This Row],[Total_Amount_30D]]&lt;10000,2,
tbl_Data2[[#This Row],[Total_Amount_30D]]&lt;25000,5,
tbl_Data2[[#This Row],[Total_Amount_30D]]&lt;50000,7,
tbl_Data2[[#This Row],[Total_Amount_30D]]&gt;=50000,9
)</f>
        <v>7</v>
      </c>
      <c r="N179" cm="1">
        <f t="array" ref="N179">_xlfn.IFS(
tbl_Data2[[#This Row],[Amount_Deviation]]&lt;1.5,2,
tbl_Data2[[#This Row],[Amount_Deviation]]&lt;3,6,
tbl_Data2[[#This Row],[Amount_Deviation]]&lt;6,8,
tbl_Data2[[#This Row],[Amount_Deviation]]&gt;=6,10
)</f>
        <v>2</v>
      </c>
      <c r="O179">
        <f>ROUND(
    (tbl_Data2[[#This Row],[Geo_Score]]*0.2) +
    (tbl_Data2[[#This Row],[Velocity_Score]]*0.25) +
    (tbl_Data2[[#This Row],[Volume_Score]]*0.25) +
    (tbl_Data2[[#This Row],[Deviation_Score]]*0.3),
1
)</f>
        <v>4.3</v>
      </c>
      <c r="P179" t="str" cm="1">
        <f t="array" ref="P179">_xlfn.IFS(
tbl_Data2[[#This Row],[Final_Risk_Score]]&lt;5.5,"Low",
tbl_Data2[[#This Row],[Final_Risk_Score]]&lt;7.5,"Medium",
tbl_Data2[[#This Row],[Final_Risk_Score]]&gt;=7.5,"High"
)</f>
        <v>Low</v>
      </c>
      <c r="Q179" t="str" cm="1">
        <f t="array" ref="Q179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180" spans="1:17" hidden="1">
      <c r="A180" t="str">
        <f>tbl_data[[#This Row],[Customer_ID]]</f>
        <v>CUST-179</v>
      </c>
      <c r="B180" t="str">
        <f>tbl_data[[#This Row],[Customer_Type]]</f>
        <v>Business</v>
      </c>
      <c r="C180" t="str">
        <f>tbl_data[[#This Row],[Country]]</f>
        <v>Panama</v>
      </c>
      <c r="D180" t="str">
        <f>tbl_data[[#This Row],[Industry]]</f>
        <v>Import/Export</v>
      </c>
      <c r="E180">
        <f>tbl_data[[#This Row],[Tx_Count_30D]]</f>
        <v>4</v>
      </c>
      <c r="F180">
        <f>tbl_data[[#This Row],[Total_Amount_30D]]</f>
        <v>21795</v>
      </c>
      <c r="G180">
        <f>tbl_data[[#This Row],[Avg_Tx_Count_6M]]</f>
        <v>32</v>
      </c>
      <c r="H180">
        <f>tbl_data[[#This Row],[Avg_Total_Amount_6M]]</f>
        <v>53497</v>
      </c>
      <c r="I180">
        <f>IFERROR(tbl_Data2[[#This Row],[Tx_Count_30D]]/tbl_Data2[[#This Row],[Avg_Tx_Count_6M]],0)</f>
        <v>0.125</v>
      </c>
      <c r="J180">
        <f>IFERROR(tbl_Data2[[#This Row],[Total_Amount_30D]]/tbl_Data2[[#This Row],[Avg_Total_Amount_6M]],0)</f>
        <v>0.40740602276763183</v>
      </c>
      <c r="K180">
        <f>_xlfn.XLOOKUP(tbl_Data2[[#This Row],[Country]], Geo_Map[Country], Geo_Map[Score], 5)</f>
        <v>8</v>
      </c>
      <c r="L180" cm="1">
        <f t="array" ref="L180">_xlfn.IFS(tbl_Data2[[#This Row],[Tx_Count_30D]]&lt;=5,2,tbl_Data2[[#This Row],[Tx_Count_30D]]&lt;=15,5,tbl_Data2[[#This Row],[Tx_Count_30D]]&lt;=30,7,tbl_Data2[[#This Row],[Tx_Count_30D]]&gt;30,9)</f>
        <v>2</v>
      </c>
      <c r="M180" cm="1">
        <f t="array" ref="M180">_xlfn.IFS(
tbl_Data2[[#This Row],[Total_Amount_30D]]&lt;10000,2,
tbl_Data2[[#This Row],[Total_Amount_30D]]&lt;25000,5,
tbl_Data2[[#This Row],[Total_Amount_30D]]&lt;50000,7,
tbl_Data2[[#This Row],[Total_Amount_30D]]&gt;=50000,9
)</f>
        <v>5</v>
      </c>
      <c r="N180" cm="1">
        <f t="array" ref="N180">_xlfn.IFS(
tbl_Data2[[#This Row],[Amount_Deviation]]&lt;1.5,2,
tbl_Data2[[#This Row],[Amount_Deviation]]&lt;3,6,
tbl_Data2[[#This Row],[Amount_Deviation]]&lt;6,8,
tbl_Data2[[#This Row],[Amount_Deviation]]&gt;=6,10
)</f>
        <v>2</v>
      </c>
      <c r="O180">
        <f>ROUND(
    (tbl_Data2[[#This Row],[Geo_Score]]*0.2) +
    (tbl_Data2[[#This Row],[Velocity_Score]]*0.25) +
    (tbl_Data2[[#This Row],[Volume_Score]]*0.25) +
    (tbl_Data2[[#This Row],[Deviation_Score]]*0.3),
1
)</f>
        <v>4</v>
      </c>
      <c r="P180" t="str" cm="1">
        <f t="array" ref="P180">_xlfn.IFS(
tbl_Data2[[#This Row],[Final_Risk_Score]]&lt;5.5,"Low",
tbl_Data2[[#This Row],[Final_Risk_Score]]&lt;7.5,"Medium",
tbl_Data2[[#This Row],[Final_Risk_Score]]&gt;=7.5,"High"
)</f>
        <v>Low</v>
      </c>
      <c r="Q180" t="str" cm="1">
        <f t="array" ref="Q180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181" spans="1:17" hidden="1">
      <c r="A181" t="str">
        <f>tbl_data[[#This Row],[Customer_ID]]</f>
        <v>CUST-180</v>
      </c>
      <c r="B181" t="str">
        <f>tbl_data[[#This Row],[Customer_Type]]</f>
        <v>Business</v>
      </c>
      <c r="C181" t="str">
        <f>tbl_data[[#This Row],[Country]]</f>
        <v>Cyprus</v>
      </c>
      <c r="D181" t="str">
        <f>tbl_data[[#This Row],[Industry]]</f>
        <v>Manufacturing</v>
      </c>
      <c r="E181">
        <f>tbl_data[[#This Row],[Tx_Count_30D]]</f>
        <v>35</v>
      </c>
      <c r="F181">
        <f>tbl_data[[#This Row],[Total_Amount_30D]]</f>
        <v>63163</v>
      </c>
      <c r="G181">
        <f>tbl_data[[#This Row],[Avg_Tx_Count_6M]]</f>
        <v>23</v>
      </c>
      <c r="H181">
        <f>tbl_data[[#This Row],[Avg_Total_Amount_6M]]</f>
        <v>7746</v>
      </c>
      <c r="I181">
        <f>IFERROR(tbl_Data2[[#This Row],[Tx_Count_30D]]/tbl_Data2[[#This Row],[Avg_Tx_Count_6M]],0)</f>
        <v>1.5217391304347827</v>
      </c>
      <c r="J181">
        <f>IFERROR(tbl_Data2[[#This Row],[Total_Amount_30D]]/tbl_Data2[[#This Row],[Avg_Total_Amount_6M]],0)</f>
        <v>8.1542731732507097</v>
      </c>
      <c r="K181">
        <f>_xlfn.XLOOKUP(tbl_Data2[[#This Row],[Country]], Geo_Map[Country], Geo_Map[Score], 5)</f>
        <v>7</v>
      </c>
      <c r="L181" cm="1">
        <f t="array" ref="L181">_xlfn.IFS(tbl_Data2[[#This Row],[Tx_Count_30D]]&lt;=5,2,tbl_Data2[[#This Row],[Tx_Count_30D]]&lt;=15,5,tbl_Data2[[#This Row],[Tx_Count_30D]]&lt;=30,7,tbl_Data2[[#This Row],[Tx_Count_30D]]&gt;30,9)</f>
        <v>9</v>
      </c>
      <c r="M181" cm="1">
        <f t="array" ref="M181">_xlfn.IFS(
tbl_Data2[[#This Row],[Total_Amount_30D]]&lt;10000,2,
tbl_Data2[[#This Row],[Total_Amount_30D]]&lt;25000,5,
tbl_Data2[[#This Row],[Total_Amount_30D]]&lt;50000,7,
tbl_Data2[[#This Row],[Total_Amount_30D]]&gt;=50000,9
)</f>
        <v>9</v>
      </c>
      <c r="N181" cm="1">
        <f t="array" ref="N181">_xlfn.IFS(
tbl_Data2[[#This Row],[Amount_Deviation]]&lt;1.5,2,
tbl_Data2[[#This Row],[Amount_Deviation]]&lt;3,6,
tbl_Data2[[#This Row],[Amount_Deviation]]&lt;6,8,
tbl_Data2[[#This Row],[Amount_Deviation]]&gt;=6,10
)</f>
        <v>10</v>
      </c>
      <c r="O181">
        <f>ROUND(
    (tbl_Data2[[#This Row],[Geo_Score]]*0.2) +
    (tbl_Data2[[#This Row],[Velocity_Score]]*0.25) +
    (tbl_Data2[[#This Row],[Volume_Score]]*0.25) +
    (tbl_Data2[[#This Row],[Deviation_Score]]*0.3),
1
)</f>
        <v>8.9</v>
      </c>
      <c r="P181" t="str" cm="1">
        <f t="array" ref="P181">_xlfn.IFS(
tbl_Data2[[#This Row],[Final_Risk_Score]]&lt;5.5,"Low",
tbl_Data2[[#This Row],[Final_Risk_Score]]&lt;7.5,"Medium",
tbl_Data2[[#This Row],[Final_Risk_Score]]&gt;=7.5,"High"
)</f>
        <v>High</v>
      </c>
      <c r="Q181" t="str" cm="1">
        <f t="array" ref="Q181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182" spans="1:17" hidden="1">
      <c r="A182" t="str">
        <f>tbl_data[[#This Row],[Customer_ID]]</f>
        <v>CUST-181</v>
      </c>
      <c r="B182" t="str">
        <f>tbl_data[[#This Row],[Customer_Type]]</f>
        <v>Business</v>
      </c>
      <c r="C182" t="str">
        <f>tbl_data[[#This Row],[Country]]</f>
        <v>Seychelles</v>
      </c>
      <c r="D182" t="str">
        <f>tbl_data[[#This Row],[Industry]]</f>
        <v>Manufacturing</v>
      </c>
      <c r="E182">
        <f>tbl_data[[#This Row],[Tx_Count_30D]]</f>
        <v>50</v>
      </c>
      <c r="F182">
        <f>tbl_data[[#This Row],[Total_Amount_30D]]</f>
        <v>96654</v>
      </c>
      <c r="G182">
        <f>tbl_data[[#This Row],[Avg_Tx_Count_6M]]</f>
        <v>19</v>
      </c>
      <c r="H182">
        <f>tbl_data[[#This Row],[Avg_Total_Amount_6M]]</f>
        <v>29608</v>
      </c>
      <c r="I182">
        <f>IFERROR(tbl_Data2[[#This Row],[Tx_Count_30D]]/tbl_Data2[[#This Row],[Avg_Tx_Count_6M]],0)</f>
        <v>2.6315789473684212</v>
      </c>
      <c r="J182">
        <f>IFERROR(tbl_Data2[[#This Row],[Total_Amount_30D]]/tbl_Data2[[#This Row],[Avg_Total_Amount_6M]],0)</f>
        <v>3.2644555525533638</v>
      </c>
      <c r="K182">
        <f>_xlfn.XLOOKUP(tbl_Data2[[#This Row],[Country]], Geo_Map[Country], Geo_Map[Score], 5)</f>
        <v>9</v>
      </c>
      <c r="L182" cm="1">
        <f t="array" ref="L182">_xlfn.IFS(tbl_Data2[[#This Row],[Tx_Count_30D]]&lt;=5,2,tbl_Data2[[#This Row],[Tx_Count_30D]]&lt;=15,5,tbl_Data2[[#This Row],[Tx_Count_30D]]&lt;=30,7,tbl_Data2[[#This Row],[Tx_Count_30D]]&gt;30,9)</f>
        <v>9</v>
      </c>
      <c r="M182" cm="1">
        <f t="array" ref="M182">_xlfn.IFS(
tbl_Data2[[#This Row],[Total_Amount_30D]]&lt;10000,2,
tbl_Data2[[#This Row],[Total_Amount_30D]]&lt;25000,5,
tbl_Data2[[#This Row],[Total_Amount_30D]]&lt;50000,7,
tbl_Data2[[#This Row],[Total_Amount_30D]]&gt;=50000,9
)</f>
        <v>9</v>
      </c>
      <c r="N182" cm="1">
        <f t="array" ref="N182">_xlfn.IFS(
tbl_Data2[[#This Row],[Amount_Deviation]]&lt;1.5,2,
tbl_Data2[[#This Row],[Amount_Deviation]]&lt;3,6,
tbl_Data2[[#This Row],[Amount_Deviation]]&lt;6,8,
tbl_Data2[[#This Row],[Amount_Deviation]]&gt;=6,10
)</f>
        <v>8</v>
      </c>
      <c r="O182">
        <f>ROUND(
    (tbl_Data2[[#This Row],[Geo_Score]]*0.2) +
    (tbl_Data2[[#This Row],[Velocity_Score]]*0.25) +
    (tbl_Data2[[#This Row],[Volume_Score]]*0.25) +
    (tbl_Data2[[#This Row],[Deviation_Score]]*0.3),
1
)</f>
        <v>8.6999999999999993</v>
      </c>
      <c r="P182" t="str" cm="1">
        <f t="array" ref="P182">_xlfn.IFS(
tbl_Data2[[#This Row],[Final_Risk_Score]]&lt;5.5,"Low",
tbl_Data2[[#This Row],[Final_Risk_Score]]&lt;7.5,"Medium",
tbl_Data2[[#This Row],[Final_Risk_Score]]&gt;=7.5,"High"
)</f>
        <v>High</v>
      </c>
      <c r="Q182" t="str" cm="1">
        <f t="array" ref="Q182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183" spans="1:17">
      <c r="A183" t="str">
        <f>tbl_data[[#This Row],[Customer_ID]]</f>
        <v>CUST-182</v>
      </c>
      <c r="B183" t="str">
        <f>tbl_data[[#This Row],[Customer_Type]]</f>
        <v>Business</v>
      </c>
      <c r="C183" t="str">
        <f>tbl_data[[#This Row],[Country]]</f>
        <v>UAE</v>
      </c>
      <c r="D183" t="str">
        <f>tbl_data[[#This Row],[Industry]]</f>
        <v>Trading</v>
      </c>
      <c r="E183">
        <f>tbl_data[[#This Row],[Tx_Count_30D]]</f>
        <v>8</v>
      </c>
      <c r="F183">
        <f>tbl_data[[#This Row],[Total_Amount_30D]]</f>
        <v>116703</v>
      </c>
      <c r="G183">
        <f>tbl_data[[#This Row],[Avg_Tx_Count_6M]]</f>
        <v>5</v>
      </c>
      <c r="H183">
        <f>tbl_data[[#This Row],[Avg_Total_Amount_6M]]</f>
        <v>63679</v>
      </c>
      <c r="I183">
        <f>IFERROR(tbl_Data2[[#This Row],[Tx_Count_30D]]/tbl_Data2[[#This Row],[Avg_Tx_Count_6M]],0)</f>
        <v>1.6</v>
      </c>
      <c r="J183">
        <f>IFERROR(tbl_Data2[[#This Row],[Total_Amount_30D]]/tbl_Data2[[#This Row],[Avg_Total_Amount_6M]],0)</f>
        <v>1.8326763925312897</v>
      </c>
      <c r="K183">
        <f>_xlfn.XLOOKUP(tbl_Data2[[#This Row],[Country]], Geo_Map[Country], Geo_Map[Score], 5)</f>
        <v>6</v>
      </c>
      <c r="L183" cm="1">
        <f t="array" ref="L183">_xlfn.IFS(tbl_Data2[[#This Row],[Tx_Count_30D]]&lt;=5,2,tbl_Data2[[#This Row],[Tx_Count_30D]]&lt;=15,5,tbl_Data2[[#This Row],[Tx_Count_30D]]&lt;=30,7,tbl_Data2[[#This Row],[Tx_Count_30D]]&gt;30,9)</f>
        <v>5</v>
      </c>
      <c r="M183" cm="1">
        <f t="array" ref="M183">_xlfn.IFS(
tbl_Data2[[#This Row],[Total_Amount_30D]]&lt;10000,2,
tbl_Data2[[#This Row],[Total_Amount_30D]]&lt;25000,5,
tbl_Data2[[#This Row],[Total_Amount_30D]]&lt;50000,7,
tbl_Data2[[#This Row],[Total_Amount_30D]]&gt;=50000,9
)</f>
        <v>9</v>
      </c>
      <c r="N183" cm="1">
        <f t="array" ref="N183">_xlfn.IFS(
tbl_Data2[[#This Row],[Amount_Deviation]]&lt;1.5,2,
tbl_Data2[[#This Row],[Amount_Deviation]]&lt;3,6,
tbl_Data2[[#This Row],[Amount_Deviation]]&lt;6,8,
tbl_Data2[[#This Row],[Amount_Deviation]]&gt;=6,10
)</f>
        <v>6</v>
      </c>
      <c r="O183">
        <f>ROUND(
    (tbl_Data2[[#This Row],[Geo_Score]]*0.2) +
    (tbl_Data2[[#This Row],[Velocity_Score]]*0.25) +
    (tbl_Data2[[#This Row],[Volume_Score]]*0.25) +
    (tbl_Data2[[#This Row],[Deviation_Score]]*0.3),
1
)</f>
        <v>6.5</v>
      </c>
      <c r="P183" t="str" cm="1">
        <f t="array" ref="P183">_xlfn.IFS(
tbl_Data2[[#This Row],[Final_Risk_Score]]&lt;5.5,"Low",
tbl_Data2[[#This Row],[Final_Risk_Score]]&lt;7.5,"Medium",
tbl_Data2[[#This Row],[Final_Risk_Score]]&gt;=7.5,"High"
)</f>
        <v>Medium</v>
      </c>
      <c r="Q183" t="str" cm="1">
        <f t="array" ref="Q183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84" spans="1:17">
      <c r="A184" t="str">
        <f>tbl_data[[#This Row],[Customer_ID]]</f>
        <v>CUST-183</v>
      </c>
      <c r="B184" t="str">
        <f>tbl_data[[#This Row],[Customer_Type]]</f>
        <v>Business</v>
      </c>
      <c r="C184" t="str">
        <f>tbl_data[[#This Row],[Country]]</f>
        <v>Panama</v>
      </c>
      <c r="D184" t="str">
        <f>tbl_data[[#This Row],[Industry]]</f>
        <v>Consulting</v>
      </c>
      <c r="E184">
        <f>tbl_data[[#This Row],[Tx_Count_30D]]</f>
        <v>58</v>
      </c>
      <c r="F184">
        <f>tbl_data[[#This Row],[Total_Amount_30D]]</f>
        <v>35986</v>
      </c>
      <c r="G184">
        <f>tbl_data[[#This Row],[Avg_Tx_Count_6M]]</f>
        <v>20</v>
      </c>
      <c r="H184">
        <f>tbl_data[[#This Row],[Avg_Total_Amount_6M]]</f>
        <v>72752</v>
      </c>
      <c r="I184">
        <f>IFERROR(tbl_Data2[[#This Row],[Tx_Count_30D]]/tbl_Data2[[#This Row],[Avg_Tx_Count_6M]],0)</f>
        <v>2.9</v>
      </c>
      <c r="J184">
        <f>IFERROR(tbl_Data2[[#This Row],[Total_Amount_30D]]/tbl_Data2[[#This Row],[Avg_Total_Amount_6M]],0)</f>
        <v>0.49463932263030569</v>
      </c>
      <c r="K184">
        <f>_xlfn.XLOOKUP(tbl_Data2[[#This Row],[Country]], Geo_Map[Country], Geo_Map[Score], 5)</f>
        <v>8</v>
      </c>
      <c r="L184" cm="1">
        <f t="array" ref="L184">_xlfn.IFS(tbl_Data2[[#This Row],[Tx_Count_30D]]&lt;=5,2,tbl_Data2[[#This Row],[Tx_Count_30D]]&lt;=15,5,tbl_Data2[[#This Row],[Tx_Count_30D]]&lt;=30,7,tbl_Data2[[#This Row],[Tx_Count_30D]]&gt;30,9)</f>
        <v>9</v>
      </c>
      <c r="M184" cm="1">
        <f t="array" ref="M184">_xlfn.IFS(
tbl_Data2[[#This Row],[Total_Amount_30D]]&lt;10000,2,
tbl_Data2[[#This Row],[Total_Amount_30D]]&lt;25000,5,
tbl_Data2[[#This Row],[Total_Amount_30D]]&lt;50000,7,
tbl_Data2[[#This Row],[Total_Amount_30D]]&gt;=50000,9
)</f>
        <v>7</v>
      </c>
      <c r="N184" cm="1">
        <f t="array" ref="N184">_xlfn.IFS(
tbl_Data2[[#This Row],[Amount_Deviation]]&lt;1.5,2,
tbl_Data2[[#This Row],[Amount_Deviation]]&lt;3,6,
tbl_Data2[[#This Row],[Amount_Deviation]]&lt;6,8,
tbl_Data2[[#This Row],[Amount_Deviation]]&gt;=6,10
)</f>
        <v>2</v>
      </c>
      <c r="O184">
        <f>ROUND(
    (tbl_Data2[[#This Row],[Geo_Score]]*0.2) +
    (tbl_Data2[[#This Row],[Velocity_Score]]*0.25) +
    (tbl_Data2[[#This Row],[Volume_Score]]*0.25) +
    (tbl_Data2[[#This Row],[Deviation_Score]]*0.3),
1
)</f>
        <v>6.2</v>
      </c>
      <c r="P184" t="str" cm="1">
        <f t="array" ref="P184">_xlfn.IFS(
tbl_Data2[[#This Row],[Final_Risk_Score]]&lt;5.5,"Low",
tbl_Data2[[#This Row],[Final_Risk_Score]]&lt;7.5,"Medium",
tbl_Data2[[#This Row],[Final_Risk_Score]]&gt;=7.5,"High"
)</f>
        <v>Medium</v>
      </c>
      <c r="Q184" t="str" cm="1">
        <f t="array" ref="Q184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85" spans="1:17" hidden="1">
      <c r="A185" t="str">
        <f>tbl_data[[#This Row],[Customer_ID]]</f>
        <v>CUST-184</v>
      </c>
      <c r="B185" t="str">
        <f>tbl_data[[#This Row],[Customer_Type]]</f>
        <v>Business</v>
      </c>
      <c r="C185" t="str">
        <f>tbl_data[[#This Row],[Country]]</f>
        <v>Panama</v>
      </c>
      <c r="D185" t="str">
        <f>tbl_data[[#This Row],[Industry]]</f>
        <v>Manufacturing</v>
      </c>
      <c r="E185">
        <f>tbl_data[[#This Row],[Tx_Count_30D]]</f>
        <v>7</v>
      </c>
      <c r="F185">
        <f>tbl_data[[#This Row],[Total_Amount_30D]]</f>
        <v>110651</v>
      </c>
      <c r="G185">
        <f>tbl_data[[#This Row],[Avg_Tx_Count_6M]]</f>
        <v>7</v>
      </c>
      <c r="H185">
        <f>tbl_data[[#This Row],[Avg_Total_Amount_6M]]</f>
        <v>15726</v>
      </c>
      <c r="I185">
        <f>IFERROR(tbl_Data2[[#This Row],[Tx_Count_30D]]/tbl_Data2[[#This Row],[Avg_Tx_Count_6M]],0)</f>
        <v>1</v>
      </c>
      <c r="J185">
        <f>IFERROR(tbl_Data2[[#This Row],[Total_Amount_30D]]/tbl_Data2[[#This Row],[Avg_Total_Amount_6M]],0)</f>
        <v>7.0361821187841791</v>
      </c>
      <c r="K185">
        <f>_xlfn.XLOOKUP(tbl_Data2[[#This Row],[Country]], Geo_Map[Country], Geo_Map[Score], 5)</f>
        <v>8</v>
      </c>
      <c r="L185" cm="1">
        <f t="array" ref="L185">_xlfn.IFS(tbl_Data2[[#This Row],[Tx_Count_30D]]&lt;=5,2,tbl_Data2[[#This Row],[Tx_Count_30D]]&lt;=15,5,tbl_Data2[[#This Row],[Tx_Count_30D]]&lt;=30,7,tbl_Data2[[#This Row],[Tx_Count_30D]]&gt;30,9)</f>
        <v>5</v>
      </c>
      <c r="M185" cm="1">
        <f t="array" ref="M185">_xlfn.IFS(
tbl_Data2[[#This Row],[Total_Amount_30D]]&lt;10000,2,
tbl_Data2[[#This Row],[Total_Amount_30D]]&lt;25000,5,
tbl_Data2[[#This Row],[Total_Amount_30D]]&lt;50000,7,
tbl_Data2[[#This Row],[Total_Amount_30D]]&gt;=50000,9
)</f>
        <v>9</v>
      </c>
      <c r="N185" cm="1">
        <f t="array" ref="N185">_xlfn.IFS(
tbl_Data2[[#This Row],[Amount_Deviation]]&lt;1.5,2,
tbl_Data2[[#This Row],[Amount_Deviation]]&lt;3,6,
tbl_Data2[[#This Row],[Amount_Deviation]]&lt;6,8,
tbl_Data2[[#This Row],[Amount_Deviation]]&gt;=6,10
)</f>
        <v>10</v>
      </c>
      <c r="O185">
        <f>ROUND(
    (tbl_Data2[[#This Row],[Geo_Score]]*0.2) +
    (tbl_Data2[[#This Row],[Velocity_Score]]*0.25) +
    (tbl_Data2[[#This Row],[Volume_Score]]*0.25) +
    (tbl_Data2[[#This Row],[Deviation_Score]]*0.3),
1
)</f>
        <v>8.1</v>
      </c>
      <c r="P185" t="str" cm="1">
        <f t="array" ref="P185">_xlfn.IFS(
tbl_Data2[[#This Row],[Final_Risk_Score]]&lt;5.5,"Low",
tbl_Data2[[#This Row],[Final_Risk_Score]]&lt;7.5,"Medium",
tbl_Data2[[#This Row],[Final_Risk_Score]]&gt;=7.5,"High"
)</f>
        <v>High</v>
      </c>
      <c r="Q185" t="str" cm="1">
        <f t="array" ref="Q185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186" spans="1:17">
      <c r="A186" t="str">
        <f>tbl_data[[#This Row],[Customer_ID]]</f>
        <v>CUST-185</v>
      </c>
      <c r="B186" t="str">
        <f>tbl_data[[#This Row],[Customer_Type]]</f>
        <v>Individual</v>
      </c>
      <c r="C186" t="str">
        <f>tbl_data[[#This Row],[Country]]</f>
        <v>UAE</v>
      </c>
      <c r="D186" t="str">
        <f>tbl_data[[#This Row],[Industry]]</f>
        <v>Consulting</v>
      </c>
      <c r="E186">
        <f>tbl_data[[#This Row],[Tx_Count_30D]]</f>
        <v>34</v>
      </c>
      <c r="F186">
        <f>tbl_data[[#This Row],[Total_Amount_30D]]</f>
        <v>47946</v>
      </c>
      <c r="G186">
        <f>tbl_data[[#This Row],[Avg_Tx_Count_6M]]</f>
        <v>7</v>
      </c>
      <c r="H186">
        <f>tbl_data[[#This Row],[Avg_Total_Amount_6M]]</f>
        <v>29055</v>
      </c>
      <c r="I186">
        <f>IFERROR(tbl_Data2[[#This Row],[Tx_Count_30D]]/tbl_Data2[[#This Row],[Avg_Tx_Count_6M]],0)</f>
        <v>4.8571428571428568</v>
      </c>
      <c r="J186">
        <f>IFERROR(tbl_Data2[[#This Row],[Total_Amount_30D]]/tbl_Data2[[#This Row],[Avg_Total_Amount_6M]],0)</f>
        <v>1.6501806917914301</v>
      </c>
      <c r="K186">
        <f>_xlfn.XLOOKUP(tbl_Data2[[#This Row],[Country]], Geo_Map[Country], Geo_Map[Score], 5)</f>
        <v>6</v>
      </c>
      <c r="L186" cm="1">
        <f t="array" ref="L186">_xlfn.IFS(tbl_Data2[[#This Row],[Tx_Count_30D]]&lt;=5,2,tbl_Data2[[#This Row],[Tx_Count_30D]]&lt;=15,5,tbl_Data2[[#This Row],[Tx_Count_30D]]&lt;=30,7,tbl_Data2[[#This Row],[Tx_Count_30D]]&gt;30,9)</f>
        <v>9</v>
      </c>
      <c r="M186" cm="1">
        <f t="array" ref="M186">_xlfn.IFS(
tbl_Data2[[#This Row],[Total_Amount_30D]]&lt;10000,2,
tbl_Data2[[#This Row],[Total_Amount_30D]]&lt;25000,5,
tbl_Data2[[#This Row],[Total_Amount_30D]]&lt;50000,7,
tbl_Data2[[#This Row],[Total_Amount_30D]]&gt;=50000,9
)</f>
        <v>7</v>
      </c>
      <c r="N186" cm="1">
        <f t="array" ref="N186">_xlfn.IFS(
tbl_Data2[[#This Row],[Amount_Deviation]]&lt;1.5,2,
tbl_Data2[[#This Row],[Amount_Deviation]]&lt;3,6,
tbl_Data2[[#This Row],[Amount_Deviation]]&lt;6,8,
tbl_Data2[[#This Row],[Amount_Deviation]]&gt;=6,10
)</f>
        <v>6</v>
      </c>
      <c r="O186">
        <f>ROUND(
    (tbl_Data2[[#This Row],[Geo_Score]]*0.2) +
    (tbl_Data2[[#This Row],[Velocity_Score]]*0.25) +
    (tbl_Data2[[#This Row],[Volume_Score]]*0.25) +
    (tbl_Data2[[#This Row],[Deviation_Score]]*0.3),
1
)</f>
        <v>7</v>
      </c>
      <c r="P186" t="str" cm="1">
        <f t="array" ref="P186">_xlfn.IFS(
tbl_Data2[[#This Row],[Final_Risk_Score]]&lt;5.5,"Low",
tbl_Data2[[#This Row],[Final_Risk_Score]]&lt;7.5,"Medium",
tbl_Data2[[#This Row],[Final_Risk_Score]]&gt;=7.5,"High"
)</f>
        <v>Medium</v>
      </c>
      <c r="Q186" t="str" cm="1">
        <f t="array" ref="Q186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87" spans="1:17">
      <c r="A187" t="str">
        <f>tbl_data[[#This Row],[Customer_ID]]</f>
        <v>CUST-186</v>
      </c>
      <c r="B187" t="str">
        <f>tbl_data[[#This Row],[Customer_Type]]</f>
        <v>Business</v>
      </c>
      <c r="C187" t="str">
        <f>tbl_data[[#This Row],[Country]]</f>
        <v>BVI</v>
      </c>
      <c r="D187" t="str">
        <f>tbl_data[[#This Row],[Industry]]</f>
        <v>Manufacturing</v>
      </c>
      <c r="E187">
        <f>tbl_data[[#This Row],[Tx_Count_30D]]</f>
        <v>11</v>
      </c>
      <c r="F187">
        <f>tbl_data[[#This Row],[Total_Amount_30D]]</f>
        <v>72830</v>
      </c>
      <c r="G187">
        <f>tbl_data[[#This Row],[Avg_Tx_Count_6M]]</f>
        <v>22</v>
      </c>
      <c r="H187">
        <f>tbl_data[[#This Row],[Avg_Total_Amount_6M]]</f>
        <v>58531</v>
      </c>
      <c r="I187">
        <f>IFERROR(tbl_Data2[[#This Row],[Tx_Count_30D]]/tbl_Data2[[#This Row],[Avg_Tx_Count_6M]],0)</f>
        <v>0.5</v>
      </c>
      <c r="J187">
        <f>IFERROR(tbl_Data2[[#This Row],[Total_Amount_30D]]/tbl_Data2[[#This Row],[Avg_Total_Amount_6M]],0)</f>
        <v>1.2442978934239974</v>
      </c>
      <c r="K187">
        <f>_xlfn.XLOOKUP(tbl_Data2[[#This Row],[Country]], Geo_Map[Country], Geo_Map[Score], 5)</f>
        <v>9</v>
      </c>
      <c r="L187" cm="1">
        <f t="array" ref="L187">_xlfn.IFS(tbl_Data2[[#This Row],[Tx_Count_30D]]&lt;=5,2,tbl_Data2[[#This Row],[Tx_Count_30D]]&lt;=15,5,tbl_Data2[[#This Row],[Tx_Count_30D]]&lt;=30,7,tbl_Data2[[#This Row],[Tx_Count_30D]]&gt;30,9)</f>
        <v>5</v>
      </c>
      <c r="M187" cm="1">
        <f t="array" ref="M187">_xlfn.IFS(
tbl_Data2[[#This Row],[Total_Amount_30D]]&lt;10000,2,
tbl_Data2[[#This Row],[Total_Amount_30D]]&lt;25000,5,
tbl_Data2[[#This Row],[Total_Amount_30D]]&lt;50000,7,
tbl_Data2[[#This Row],[Total_Amount_30D]]&gt;=50000,9
)</f>
        <v>9</v>
      </c>
      <c r="N187" cm="1">
        <f t="array" ref="N187">_xlfn.IFS(
tbl_Data2[[#This Row],[Amount_Deviation]]&lt;1.5,2,
tbl_Data2[[#This Row],[Amount_Deviation]]&lt;3,6,
tbl_Data2[[#This Row],[Amount_Deviation]]&lt;6,8,
tbl_Data2[[#This Row],[Amount_Deviation]]&gt;=6,10
)</f>
        <v>2</v>
      </c>
      <c r="O187">
        <f>ROUND(
    (tbl_Data2[[#This Row],[Geo_Score]]*0.2) +
    (tbl_Data2[[#This Row],[Velocity_Score]]*0.25) +
    (tbl_Data2[[#This Row],[Volume_Score]]*0.25) +
    (tbl_Data2[[#This Row],[Deviation_Score]]*0.3),
1
)</f>
        <v>5.9</v>
      </c>
      <c r="P187" t="str" cm="1">
        <f t="array" ref="P187">_xlfn.IFS(
tbl_Data2[[#This Row],[Final_Risk_Score]]&lt;5.5,"Low",
tbl_Data2[[#This Row],[Final_Risk_Score]]&lt;7.5,"Medium",
tbl_Data2[[#This Row],[Final_Risk_Score]]&gt;=7.5,"High"
)</f>
        <v>Medium</v>
      </c>
      <c r="Q187" t="str" cm="1">
        <f t="array" ref="Q187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88" spans="1:17" hidden="1">
      <c r="A188" t="str">
        <f>tbl_data[[#This Row],[Customer_ID]]</f>
        <v>CUST-187</v>
      </c>
      <c r="B188" t="str">
        <f>tbl_data[[#This Row],[Customer_Type]]</f>
        <v>Business</v>
      </c>
      <c r="C188" t="str">
        <f>tbl_data[[#This Row],[Country]]</f>
        <v>USA</v>
      </c>
      <c r="D188" t="str">
        <f>tbl_data[[#This Row],[Industry]]</f>
        <v>Logistics</v>
      </c>
      <c r="E188">
        <f>tbl_data[[#This Row],[Tx_Count_30D]]</f>
        <v>60</v>
      </c>
      <c r="F188">
        <f>tbl_data[[#This Row],[Total_Amount_30D]]</f>
        <v>97777</v>
      </c>
      <c r="G188">
        <f>tbl_data[[#This Row],[Avg_Tx_Count_6M]]</f>
        <v>31</v>
      </c>
      <c r="H188">
        <f>tbl_data[[#This Row],[Avg_Total_Amount_6M]]</f>
        <v>74138</v>
      </c>
      <c r="I188">
        <f>IFERROR(tbl_Data2[[#This Row],[Tx_Count_30D]]/tbl_Data2[[#This Row],[Avg_Tx_Count_6M]],0)</f>
        <v>1.935483870967742</v>
      </c>
      <c r="J188">
        <f>IFERROR(tbl_Data2[[#This Row],[Total_Amount_30D]]/tbl_Data2[[#This Row],[Avg_Total_Amount_6M]],0)</f>
        <v>1.3188513313010872</v>
      </c>
      <c r="K188">
        <f>_xlfn.XLOOKUP(tbl_Data2[[#This Row],[Country]], Geo_Map[Country], Geo_Map[Score], 5)</f>
        <v>1</v>
      </c>
      <c r="L188" cm="1">
        <f t="array" ref="L188">_xlfn.IFS(tbl_Data2[[#This Row],[Tx_Count_30D]]&lt;=5,2,tbl_Data2[[#This Row],[Tx_Count_30D]]&lt;=15,5,tbl_Data2[[#This Row],[Tx_Count_30D]]&lt;=30,7,tbl_Data2[[#This Row],[Tx_Count_30D]]&gt;30,9)</f>
        <v>9</v>
      </c>
      <c r="M188" cm="1">
        <f t="array" ref="M188">_xlfn.IFS(
tbl_Data2[[#This Row],[Total_Amount_30D]]&lt;10000,2,
tbl_Data2[[#This Row],[Total_Amount_30D]]&lt;25000,5,
tbl_Data2[[#This Row],[Total_Amount_30D]]&lt;50000,7,
tbl_Data2[[#This Row],[Total_Amount_30D]]&gt;=50000,9
)</f>
        <v>9</v>
      </c>
      <c r="N188" cm="1">
        <f t="array" ref="N188">_xlfn.IFS(
tbl_Data2[[#This Row],[Amount_Deviation]]&lt;1.5,2,
tbl_Data2[[#This Row],[Amount_Deviation]]&lt;3,6,
tbl_Data2[[#This Row],[Amount_Deviation]]&lt;6,8,
tbl_Data2[[#This Row],[Amount_Deviation]]&gt;=6,10
)</f>
        <v>2</v>
      </c>
      <c r="O188">
        <f>ROUND(
    (tbl_Data2[[#This Row],[Geo_Score]]*0.2) +
    (tbl_Data2[[#This Row],[Velocity_Score]]*0.25) +
    (tbl_Data2[[#This Row],[Volume_Score]]*0.25) +
    (tbl_Data2[[#This Row],[Deviation_Score]]*0.3),
1
)</f>
        <v>5.3</v>
      </c>
      <c r="P188" t="str" cm="1">
        <f t="array" ref="P188">_xlfn.IFS(
tbl_Data2[[#This Row],[Final_Risk_Score]]&lt;5.5,"Low",
tbl_Data2[[#This Row],[Final_Risk_Score]]&lt;7.5,"Medium",
tbl_Data2[[#This Row],[Final_Risk_Score]]&gt;=7.5,"High"
)</f>
        <v>Low</v>
      </c>
      <c r="Q188" t="str" cm="1">
        <f t="array" ref="Q188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189" spans="1:17" hidden="1">
      <c r="A189" t="str">
        <f>tbl_data[[#This Row],[Customer_ID]]</f>
        <v>CUST-188</v>
      </c>
      <c r="B189" t="str">
        <f>tbl_data[[#This Row],[Customer_Type]]</f>
        <v>Business</v>
      </c>
      <c r="C189" t="str">
        <f>tbl_data[[#This Row],[Country]]</f>
        <v>Cyprus</v>
      </c>
      <c r="D189" t="str">
        <f>tbl_data[[#This Row],[Industry]]</f>
        <v>Trading</v>
      </c>
      <c r="E189">
        <f>tbl_data[[#This Row],[Tx_Count_30D]]</f>
        <v>34</v>
      </c>
      <c r="F189">
        <f>tbl_data[[#This Row],[Total_Amount_30D]]</f>
        <v>58012</v>
      </c>
      <c r="G189">
        <f>tbl_data[[#This Row],[Avg_Tx_Count_6M]]</f>
        <v>13</v>
      </c>
      <c r="H189">
        <f>tbl_data[[#This Row],[Avg_Total_Amount_6M]]</f>
        <v>33502</v>
      </c>
      <c r="I189">
        <f>IFERROR(tbl_Data2[[#This Row],[Tx_Count_30D]]/tbl_Data2[[#This Row],[Avg_Tx_Count_6M]],0)</f>
        <v>2.6153846153846154</v>
      </c>
      <c r="J189">
        <f>IFERROR(tbl_Data2[[#This Row],[Total_Amount_30D]]/tbl_Data2[[#This Row],[Avg_Total_Amount_6M]],0)</f>
        <v>1.7315981135454599</v>
      </c>
      <c r="K189">
        <f>_xlfn.XLOOKUP(tbl_Data2[[#This Row],[Country]], Geo_Map[Country], Geo_Map[Score], 5)</f>
        <v>7</v>
      </c>
      <c r="L189" cm="1">
        <f t="array" ref="L189">_xlfn.IFS(tbl_Data2[[#This Row],[Tx_Count_30D]]&lt;=5,2,tbl_Data2[[#This Row],[Tx_Count_30D]]&lt;=15,5,tbl_Data2[[#This Row],[Tx_Count_30D]]&lt;=30,7,tbl_Data2[[#This Row],[Tx_Count_30D]]&gt;30,9)</f>
        <v>9</v>
      </c>
      <c r="M189" cm="1">
        <f t="array" ref="M189">_xlfn.IFS(
tbl_Data2[[#This Row],[Total_Amount_30D]]&lt;10000,2,
tbl_Data2[[#This Row],[Total_Amount_30D]]&lt;25000,5,
tbl_Data2[[#This Row],[Total_Amount_30D]]&lt;50000,7,
tbl_Data2[[#This Row],[Total_Amount_30D]]&gt;=50000,9
)</f>
        <v>9</v>
      </c>
      <c r="N189" cm="1">
        <f t="array" ref="N189">_xlfn.IFS(
tbl_Data2[[#This Row],[Amount_Deviation]]&lt;1.5,2,
tbl_Data2[[#This Row],[Amount_Deviation]]&lt;3,6,
tbl_Data2[[#This Row],[Amount_Deviation]]&lt;6,8,
tbl_Data2[[#This Row],[Amount_Deviation]]&gt;=6,10
)</f>
        <v>6</v>
      </c>
      <c r="O189">
        <f>ROUND(
    (tbl_Data2[[#This Row],[Geo_Score]]*0.2) +
    (tbl_Data2[[#This Row],[Velocity_Score]]*0.25) +
    (tbl_Data2[[#This Row],[Volume_Score]]*0.25) +
    (tbl_Data2[[#This Row],[Deviation_Score]]*0.3),
1
)</f>
        <v>7.7</v>
      </c>
      <c r="P189" t="str" cm="1">
        <f t="array" ref="P189">_xlfn.IFS(
tbl_Data2[[#This Row],[Final_Risk_Score]]&lt;5.5,"Low",
tbl_Data2[[#This Row],[Final_Risk_Score]]&lt;7.5,"Medium",
tbl_Data2[[#This Row],[Final_Risk_Score]]&gt;=7.5,"High"
)</f>
        <v>High</v>
      </c>
      <c r="Q189" t="str" cm="1">
        <f t="array" ref="Q189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190" spans="1:17">
      <c r="A190" t="str">
        <f>tbl_data[[#This Row],[Customer_ID]]</f>
        <v>CUST-189</v>
      </c>
      <c r="B190" t="str">
        <f>tbl_data[[#This Row],[Customer_Type]]</f>
        <v>Business</v>
      </c>
      <c r="C190" t="str">
        <f>tbl_data[[#This Row],[Country]]</f>
        <v>Hong Kong</v>
      </c>
      <c r="D190" t="str">
        <f>tbl_data[[#This Row],[Industry]]</f>
        <v>Manufacturing</v>
      </c>
      <c r="E190">
        <f>tbl_data[[#This Row],[Tx_Count_30D]]</f>
        <v>19</v>
      </c>
      <c r="F190">
        <f>tbl_data[[#This Row],[Total_Amount_30D]]</f>
        <v>71257</v>
      </c>
      <c r="G190">
        <f>tbl_data[[#This Row],[Avg_Tx_Count_6M]]</f>
        <v>8</v>
      </c>
      <c r="H190">
        <f>tbl_data[[#This Row],[Avg_Total_Amount_6M]]</f>
        <v>50243</v>
      </c>
      <c r="I190">
        <f>IFERROR(tbl_Data2[[#This Row],[Tx_Count_30D]]/tbl_Data2[[#This Row],[Avg_Tx_Count_6M]],0)</f>
        <v>2.375</v>
      </c>
      <c r="J190">
        <f>IFERROR(tbl_Data2[[#This Row],[Total_Amount_30D]]/tbl_Data2[[#This Row],[Avg_Total_Amount_6M]],0)</f>
        <v>1.4182473180343531</v>
      </c>
      <c r="K190">
        <f>_xlfn.XLOOKUP(tbl_Data2[[#This Row],[Country]], Geo_Map[Country], Geo_Map[Score], 5)</f>
        <v>6</v>
      </c>
      <c r="L190" cm="1">
        <f t="array" ref="L190">_xlfn.IFS(tbl_Data2[[#This Row],[Tx_Count_30D]]&lt;=5,2,tbl_Data2[[#This Row],[Tx_Count_30D]]&lt;=15,5,tbl_Data2[[#This Row],[Tx_Count_30D]]&lt;=30,7,tbl_Data2[[#This Row],[Tx_Count_30D]]&gt;30,9)</f>
        <v>7</v>
      </c>
      <c r="M190" cm="1">
        <f t="array" ref="M190">_xlfn.IFS(
tbl_Data2[[#This Row],[Total_Amount_30D]]&lt;10000,2,
tbl_Data2[[#This Row],[Total_Amount_30D]]&lt;25000,5,
tbl_Data2[[#This Row],[Total_Amount_30D]]&lt;50000,7,
tbl_Data2[[#This Row],[Total_Amount_30D]]&gt;=50000,9
)</f>
        <v>9</v>
      </c>
      <c r="N190" cm="1">
        <f t="array" ref="N190">_xlfn.IFS(
tbl_Data2[[#This Row],[Amount_Deviation]]&lt;1.5,2,
tbl_Data2[[#This Row],[Amount_Deviation]]&lt;3,6,
tbl_Data2[[#This Row],[Amount_Deviation]]&lt;6,8,
tbl_Data2[[#This Row],[Amount_Deviation]]&gt;=6,10
)</f>
        <v>2</v>
      </c>
      <c r="O190">
        <f>ROUND(
    (tbl_Data2[[#This Row],[Geo_Score]]*0.2) +
    (tbl_Data2[[#This Row],[Velocity_Score]]*0.25) +
    (tbl_Data2[[#This Row],[Volume_Score]]*0.25) +
    (tbl_Data2[[#This Row],[Deviation_Score]]*0.3),
1
)</f>
        <v>5.8</v>
      </c>
      <c r="P190" t="str" cm="1">
        <f t="array" ref="P190">_xlfn.IFS(
tbl_Data2[[#This Row],[Final_Risk_Score]]&lt;5.5,"Low",
tbl_Data2[[#This Row],[Final_Risk_Score]]&lt;7.5,"Medium",
tbl_Data2[[#This Row],[Final_Risk_Score]]&gt;=7.5,"High"
)</f>
        <v>Medium</v>
      </c>
      <c r="Q190" t="str" cm="1">
        <f t="array" ref="Q190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91" spans="1:17" hidden="1">
      <c r="A191" t="str">
        <f>tbl_data[[#This Row],[Customer_ID]]</f>
        <v>CUST-190</v>
      </c>
      <c r="B191" t="str">
        <f>tbl_data[[#This Row],[Customer_Type]]</f>
        <v>Business</v>
      </c>
      <c r="C191" t="str">
        <f>tbl_data[[#This Row],[Country]]</f>
        <v>Seychelles</v>
      </c>
      <c r="D191" t="str">
        <f>tbl_data[[#This Row],[Industry]]</f>
        <v>Logistics</v>
      </c>
      <c r="E191">
        <f>tbl_data[[#This Row],[Tx_Count_30D]]</f>
        <v>26</v>
      </c>
      <c r="F191">
        <f>tbl_data[[#This Row],[Total_Amount_30D]]</f>
        <v>101981</v>
      </c>
      <c r="G191">
        <f>tbl_data[[#This Row],[Avg_Tx_Count_6M]]</f>
        <v>22</v>
      </c>
      <c r="H191">
        <f>tbl_data[[#This Row],[Avg_Total_Amount_6M]]</f>
        <v>34267</v>
      </c>
      <c r="I191">
        <f>IFERROR(tbl_Data2[[#This Row],[Tx_Count_30D]]/tbl_Data2[[#This Row],[Avg_Tx_Count_6M]],0)</f>
        <v>1.1818181818181819</v>
      </c>
      <c r="J191">
        <f>IFERROR(tbl_Data2[[#This Row],[Total_Amount_30D]]/tbl_Data2[[#This Row],[Avg_Total_Amount_6M]],0)</f>
        <v>2.9760702716899643</v>
      </c>
      <c r="K191">
        <f>_xlfn.XLOOKUP(tbl_Data2[[#This Row],[Country]], Geo_Map[Country], Geo_Map[Score], 5)</f>
        <v>9</v>
      </c>
      <c r="L191" cm="1">
        <f t="array" ref="L191">_xlfn.IFS(tbl_Data2[[#This Row],[Tx_Count_30D]]&lt;=5,2,tbl_Data2[[#This Row],[Tx_Count_30D]]&lt;=15,5,tbl_Data2[[#This Row],[Tx_Count_30D]]&lt;=30,7,tbl_Data2[[#This Row],[Tx_Count_30D]]&gt;30,9)</f>
        <v>7</v>
      </c>
      <c r="M191" cm="1">
        <f t="array" ref="M191">_xlfn.IFS(
tbl_Data2[[#This Row],[Total_Amount_30D]]&lt;10000,2,
tbl_Data2[[#This Row],[Total_Amount_30D]]&lt;25000,5,
tbl_Data2[[#This Row],[Total_Amount_30D]]&lt;50000,7,
tbl_Data2[[#This Row],[Total_Amount_30D]]&gt;=50000,9
)</f>
        <v>9</v>
      </c>
      <c r="N191" cm="1">
        <f t="array" ref="N191">_xlfn.IFS(
tbl_Data2[[#This Row],[Amount_Deviation]]&lt;1.5,2,
tbl_Data2[[#This Row],[Amount_Deviation]]&lt;3,6,
tbl_Data2[[#This Row],[Amount_Deviation]]&lt;6,8,
tbl_Data2[[#This Row],[Amount_Deviation]]&gt;=6,10
)</f>
        <v>6</v>
      </c>
      <c r="O191">
        <f>ROUND(
    (tbl_Data2[[#This Row],[Geo_Score]]*0.2) +
    (tbl_Data2[[#This Row],[Velocity_Score]]*0.25) +
    (tbl_Data2[[#This Row],[Volume_Score]]*0.25) +
    (tbl_Data2[[#This Row],[Deviation_Score]]*0.3),
1
)</f>
        <v>7.6</v>
      </c>
      <c r="P191" t="str" cm="1">
        <f t="array" ref="P191">_xlfn.IFS(
tbl_Data2[[#This Row],[Final_Risk_Score]]&lt;5.5,"Low",
tbl_Data2[[#This Row],[Final_Risk_Score]]&lt;7.5,"Medium",
tbl_Data2[[#This Row],[Final_Risk_Score]]&gt;=7.5,"High"
)</f>
        <v>High</v>
      </c>
      <c r="Q191" t="str" cm="1">
        <f t="array" ref="Q191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192" spans="1:17" hidden="1">
      <c r="A192" t="str">
        <f>tbl_data[[#This Row],[Customer_ID]]</f>
        <v>CUST-191</v>
      </c>
      <c r="B192" t="str">
        <f>tbl_data[[#This Row],[Customer_Type]]</f>
        <v>Business</v>
      </c>
      <c r="C192" t="str">
        <f>tbl_data[[#This Row],[Country]]</f>
        <v>Seychelles</v>
      </c>
      <c r="D192" t="str">
        <f>tbl_data[[#This Row],[Industry]]</f>
        <v>Import/Export</v>
      </c>
      <c r="E192">
        <f>tbl_data[[#This Row],[Tx_Count_30D]]</f>
        <v>19</v>
      </c>
      <c r="F192">
        <f>tbl_data[[#This Row],[Total_Amount_30D]]</f>
        <v>116838</v>
      </c>
      <c r="G192">
        <f>tbl_data[[#This Row],[Avg_Tx_Count_6M]]</f>
        <v>9</v>
      </c>
      <c r="H192">
        <f>tbl_data[[#This Row],[Avg_Total_Amount_6M]]</f>
        <v>38392</v>
      </c>
      <c r="I192">
        <f>IFERROR(tbl_Data2[[#This Row],[Tx_Count_30D]]/tbl_Data2[[#This Row],[Avg_Tx_Count_6M]],0)</f>
        <v>2.1111111111111112</v>
      </c>
      <c r="J192">
        <f>IFERROR(tbl_Data2[[#This Row],[Total_Amount_30D]]/tbl_Data2[[#This Row],[Avg_Total_Amount_6M]],0)</f>
        <v>3.0432902688060013</v>
      </c>
      <c r="K192">
        <f>_xlfn.XLOOKUP(tbl_Data2[[#This Row],[Country]], Geo_Map[Country], Geo_Map[Score], 5)</f>
        <v>9</v>
      </c>
      <c r="L192" cm="1">
        <f t="array" ref="L192">_xlfn.IFS(tbl_Data2[[#This Row],[Tx_Count_30D]]&lt;=5,2,tbl_Data2[[#This Row],[Tx_Count_30D]]&lt;=15,5,tbl_Data2[[#This Row],[Tx_Count_30D]]&lt;=30,7,tbl_Data2[[#This Row],[Tx_Count_30D]]&gt;30,9)</f>
        <v>7</v>
      </c>
      <c r="M192" cm="1">
        <f t="array" ref="M192">_xlfn.IFS(
tbl_Data2[[#This Row],[Total_Amount_30D]]&lt;10000,2,
tbl_Data2[[#This Row],[Total_Amount_30D]]&lt;25000,5,
tbl_Data2[[#This Row],[Total_Amount_30D]]&lt;50000,7,
tbl_Data2[[#This Row],[Total_Amount_30D]]&gt;=50000,9
)</f>
        <v>9</v>
      </c>
      <c r="N192" cm="1">
        <f t="array" ref="N192">_xlfn.IFS(
tbl_Data2[[#This Row],[Amount_Deviation]]&lt;1.5,2,
tbl_Data2[[#This Row],[Amount_Deviation]]&lt;3,6,
tbl_Data2[[#This Row],[Amount_Deviation]]&lt;6,8,
tbl_Data2[[#This Row],[Amount_Deviation]]&gt;=6,10
)</f>
        <v>8</v>
      </c>
      <c r="O192">
        <f>ROUND(
    (tbl_Data2[[#This Row],[Geo_Score]]*0.2) +
    (tbl_Data2[[#This Row],[Velocity_Score]]*0.25) +
    (tbl_Data2[[#This Row],[Volume_Score]]*0.25) +
    (tbl_Data2[[#This Row],[Deviation_Score]]*0.3),
1
)</f>
        <v>8.1999999999999993</v>
      </c>
      <c r="P192" t="str" cm="1">
        <f t="array" ref="P192">_xlfn.IFS(
tbl_Data2[[#This Row],[Final_Risk_Score]]&lt;5.5,"Low",
tbl_Data2[[#This Row],[Final_Risk_Score]]&lt;7.5,"Medium",
tbl_Data2[[#This Row],[Final_Risk_Score]]&gt;=7.5,"High"
)</f>
        <v>High</v>
      </c>
      <c r="Q192" t="str" cm="1">
        <f t="array" ref="Q192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193" spans="1:17">
      <c r="A193" t="str">
        <f>tbl_data[[#This Row],[Customer_ID]]</f>
        <v>CUST-192</v>
      </c>
      <c r="B193" t="str">
        <f>tbl_data[[#This Row],[Customer_Type]]</f>
        <v>Business</v>
      </c>
      <c r="C193" t="str">
        <f>tbl_data[[#This Row],[Country]]</f>
        <v>Panama</v>
      </c>
      <c r="D193" t="str">
        <f>tbl_data[[#This Row],[Industry]]</f>
        <v>Trading</v>
      </c>
      <c r="E193">
        <f>tbl_data[[#This Row],[Tx_Count_30D]]</f>
        <v>37</v>
      </c>
      <c r="F193">
        <f>tbl_data[[#This Row],[Total_Amount_30D]]</f>
        <v>50982</v>
      </c>
      <c r="G193">
        <f>tbl_data[[#This Row],[Avg_Tx_Count_6M]]</f>
        <v>26</v>
      </c>
      <c r="H193">
        <f>tbl_data[[#This Row],[Avg_Total_Amount_6M]]</f>
        <v>35790</v>
      </c>
      <c r="I193">
        <f>IFERROR(tbl_Data2[[#This Row],[Tx_Count_30D]]/tbl_Data2[[#This Row],[Avg_Tx_Count_6M]],0)</f>
        <v>1.4230769230769231</v>
      </c>
      <c r="J193">
        <f>IFERROR(tbl_Data2[[#This Row],[Total_Amount_30D]]/tbl_Data2[[#This Row],[Avg_Total_Amount_6M]],0)</f>
        <v>1.4244761106454318</v>
      </c>
      <c r="K193">
        <f>_xlfn.XLOOKUP(tbl_Data2[[#This Row],[Country]], Geo_Map[Country], Geo_Map[Score], 5)</f>
        <v>8</v>
      </c>
      <c r="L193" cm="1">
        <f t="array" ref="L193">_xlfn.IFS(tbl_Data2[[#This Row],[Tx_Count_30D]]&lt;=5,2,tbl_Data2[[#This Row],[Tx_Count_30D]]&lt;=15,5,tbl_Data2[[#This Row],[Tx_Count_30D]]&lt;=30,7,tbl_Data2[[#This Row],[Tx_Count_30D]]&gt;30,9)</f>
        <v>9</v>
      </c>
      <c r="M193" cm="1">
        <f t="array" ref="M193">_xlfn.IFS(
tbl_Data2[[#This Row],[Total_Amount_30D]]&lt;10000,2,
tbl_Data2[[#This Row],[Total_Amount_30D]]&lt;25000,5,
tbl_Data2[[#This Row],[Total_Amount_30D]]&lt;50000,7,
tbl_Data2[[#This Row],[Total_Amount_30D]]&gt;=50000,9
)</f>
        <v>9</v>
      </c>
      <c r="N193" cm="1">
        <f t="array" ref="N193">_xlfn.IFS(
tbl_Data2[[#This Row],[Amount_Deviation]]&lt;1.5,2,
tbl_Data2[[#This Row],[Amount_Deviation]]&lt;3,6,
tbl_Data2[[#This Row],[Amount_Deviation]]&lt;6,8,
tbl_Data2[[#This Row],[Amount_Deviation]]&gt;=6,10
)</f>
        <v>2</v>
      </c>
      <c r="O193">
        <f>ROUND(
    (tbl_Data2[[#This Row],[Geo_Score]]*0.2) +
    (tbl_Data2[[#This Row],[Velocity_Score]]*0.25) +
    (tbl_Data2[[#This Row],[Volume_Score]]*0.25) +
    (tbl_Data2[[#This Row],[Deviation_Score]]*0.3),
1
)</f>
        <v>6.7</v>
      </c>
      <c r="P193" t="str" cm="1">
        <f t="array" ref="P193">_xlfn.IFS(
tbl_Data2[[#This Row],[Final_Risk_Score]]&lt;5.5,"Low",
tbl_Data2[[#This Row],[Final_Risk_Score]]&lt;7.5,"Medium",
tbl_Data2[[#This Row],[Final_Risk_Score]]&gt;=7.5,"High"
)</f>
        <v>Medium</v>
      </c>
      <c r="Q193" t="str" cm="1">
        <f t="array" ref="Q193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94" spans="1:17" hidden="1">
      <c r="A194" t="str">
        <f>tbl_data[[#This Row],[Customer_ID]]</f>
        <v>CUST-193</v>
      </c>
      <c r="B194" t="str">
        <f>tbl_data[[#This Row],[Customer_Type]]</f>
        <v>Individual</v>
      </c>
      <c r="C194" t="str">
        <f>tbl_data[[#This Row],[Country]]</f>
        <v>USA</v>
      </c>
      <c r="D194" t="str">
        <f>tbl_data[[#This Row],[Industry]]</f>
        <v>Import/Export</v>
      </c>
      <c r="E194">
        <f>tbl_data[[#This Row],[Tx_Count_30D]]</f>
        <v>35</v>
      </c>
      <c r="F194">
        <f>tbl_data[[#This Row],[Total_Amount_30D]]</f>
        <v>28499</v>
      </c>
      <c r="G194">
        <f>tbl_data[[#This Row],[Avg_Tx_Count_6M]]</f>
        <v>8</v>
      </c>
      <c r="H194">
        <f>tbl_data[[#This Row],[Avg_Total_Amount_6M]]</f>
        <v>77875</v>
      </c>
      <c r="I194">
        <f>IFERROR(tbl_Data2[[#This Row],[Tx_Count_30D]]/tbl_Data2[[#This Row],[Avg_Tx_Count_6M]],0)</f>
        <v>4.375</v>
      </c>
      <c r="J194">
        <f>IFERROR(tbl_Data2[[#This Row],[Total_Amount_30D]]/tbl_Data2[[#This Row],[Avg_Total_Amount_6M]],0)</f>
        <v>0.36595826645264845</v>
      </c>
      <c r="K194">
        <f>_xlfn.XLOOKUP(tbl_Data2[[#This Row],[Country]], Geo_Map[Country], Geo_Map[Score], 5)</f>
        <v>1</v>
      </c>
      <c r="L194" cm="1">
        <f t="array" ref="L194">_xlfn.IFS(tbl_Data2[[#This Row],[Tx_Count_30D]]&lt;=5,2,tbl_Data2[[#This Row],[Tx_Count_30D]]&lt;=15,5,tbl_Data2[[#This Row],[Tx_Count_30D]]&lt;=30,7,tbl_Data2[[#This Row],[Tx_Count_30D]]&gt;30,9)</f>
        <v>9</v>
      </c>
      <c r="M194" cm="1">
        <f t="array" ref="M194">_xlfn.IFS(
tbl_Data2[[#This Row],[Total_Amount_30D]]&lt;10000,2,
tbl_Data2[[#This Row],[Total_Amount_30D]]&lt;25000,5,
tbl_Data2[[#This Row],[Total_Amount_30D]]&lt;50000,7,
tbl_Data2[[#This Row],[Total_Amount_30D]]&gt;=50000,9
)</f>
        <v>7</v>
      </c>
      <c r="N194" cm="1">
        <f t="array" ref="N194">_xlfn.IFS(
tbl_Data2[[#This Row],[Amount_Deviation]]&lt;1.5,2,
tbl_Data2[[#This Row],[Amount_Deviation]]&lt;3,6,
tbl_Data2[[#This Row],[Amount_Deviation]]&lt;6,8,
tbl_Data2[[#This Row],[Amount_Deviation]]&gt;=6,10
)</f>
        <v>2</v>
      </c>
      <c r="O194">
        <f>ROUND(
    (tbl_Data2[[#This Row],[Geo_Score]]*0.2) +
    (tbl_Data2[[#This Row],[Velocity_Score]]*0.25) +
    (tbl_Data2[[#This Row],[Volume_Score]]*0.25) +
    (tbl_Data2[[#This Row],[Deviation_Score]]*0.3),
1
)</f>
        <v>4.8</v>
      </c>
      <c r="P194" t="str" cm="1">
        <f t="array" ref="P194">_xlfn.IFS(
tbl_Data2[[#This Row],[Final_Risk_Score]]&lt;5.5,"Low",
tbl_Data2[[#This Row],[Final_Risk_Score]]&lt;7.5,"Medium",
tbl_Data2[[#This Row],[Final_Risk_Score]]&gt;=7.5,"High"
)</f>
        <v>Low</v>
      </c>
      <c r="Q194" t="str" cm="1">
        <f t="array" ref="Q194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195" spans="1:17">
      <c r="A195" t="str">
        <f>tbl_data[[#This Row],[Customer_ID]]</f>
        <v>CUST-194</v>
      </c>
      <c r="B195" t="str">
        <f>tbl_data[[#This Row],[Customer_Type]]</f>
        <v>Business</v>
      </c>
      <c r="C195" t="str">
        <f>tbl_data[[#This Row],[Country]]</f>
        <v>Cyprus</v>
      </c>
      <c r="D195" t="str">
        <f>tbl_data[[#This Row],[Industry]]</f>
        <v>Logistics</v>
      </c>
      <c r="E195">
        <f>tbl_data[[#This Row],[Tx_Count_30D]]</f>
        <v>14</v>
      </c>
      <c r="F195">
        <f>tbl_data[[#This Row],[Total_Amount_30D]]</f>
        <v>86759</v>
      </c>
      <c r="G195">
        <f>tbl_data[[#This Row],[Avg_Tx_Count_6M]]</f>
        <v>5</v>
      </c>
      <c r="H195">
        <f>tbl_data[[#This Row],[Avg_Total_Amount_6M]]</f>
        <v>35817</v>
      </c>
      <c r="I195">
        <f>IFERROR(tbl_Data2[[#This Row],[Tx_Count_30D]]/tbl_Data2[[#This Row],[Avg_Tx_Count_6M]],0)</f>
        <v>2.8</v>
      </c>
      <c r="J195">
        <f>IFERROR(tbl_Data2[[#This Row],[Total_Amount_30D]]/tbl_Data2[[#This Row],[Avg_Total_Amount_6M]],0)</f>
        <v>2.4222855068822069</v>
      </c>
      <c r="K195">
        <f>_xlfn.XLOOKUP(tbl_Data2[[#This Row],[Country]], Geo_Map[Country], Geo_Map[Score], 5)</f>
        <v>7</v>
      </c>
      <c r="L195" cm="1">
        <f t="array" ref="L195">_xlfn.IFS(tbl_Data2[[#This Row],[Tx_Count_30D]]&lt;=5,2,tbl_Data2[[#This Row],[Tx_Count_30D]]&lt;=15,5,tbl_Data2[[#This Row],[Tx_Count_30D]]&lt;=30,7,tbl_Data2[[#This Row],[Tx_Count_30D]]&gt;30,9)</f>
        <v>5</v>
      </c>
      <c r="M195" cm="1">
        <f t="array" ref="M195">_xlfn.IFS(
tbl_Data2[[#This Row],[Total_Amount_30D]]&lt;10000,2,
tbl_Data2[[#This Row],[Total_Amount_30D]]&lt;25000,5,
tbl_Data2[[#This Row],[Total_Amount_30D]]&lt;50000,7,
tbl_Data2[[#This Row],[Total_Amount_30D]]&gt;=50000,9
)</f>
        <v>9</v>
      </c>
      <c r="N195" cm="1">
        <f t="array" ref="N195">_xlfn.IFS(
tbl_Data2[[#This Row],[Amount_Deviation]]&lt;1.5,2,
tbl_Data2[[#This Row],[Amount_Deviation]]&lt;3,6,
tbl_Data2[[#This Row],[Amount_Deviation]]&lt;6,8,
tbl_Data2[[#This Row],[Amount_Deviation]]&gt;=6,10
)</f>
        <v>6</v>
      </c>
      <c r="O195">
        <f>ROUND(
    (tbl_Data2[[#This Row],[Geo_Score]]*0.2) +
    (tbl_Data2[[#This Row],[Velocity_Score]]*0.25) +
    (tbl_Data2[[#This Row],[Volume_Score]]*0.25) +
    (tbl_Data2[[#This Row],[Deviation_Score]]*0.3),
1
)</f>
        <v>6.7</v>
      </c>
      <c r="P195" t="str" cm="1">
        <f t="array" ref="P195">_xlfn.IFS(
tbl_Data2[[#This Row],[Final_Risk_Score]]&lt;5.5,"Low",
tbl_Data2[[#This Row],[Final_Risk_Score]]&lt;7.5,"Medium",
tbl_Data2[[#This Row],[Final_Risk_Score]]&gt;=7.5,"High"
)</f>
        <v>Medium</v>
      </c>
      <c r="Q195" t="str" cm="1">
        <f t="array" ref="Q195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96" spans="1:17" hidden="1">
      <c r="A196" t="str">
        <f>tbl_data[[#This Row],[Customer_ID]]</f>
        <v>CUST-195</v>
      </c>
      <c r="B196" t="str">
        <f>tbl_data[[#This Row],[Customer_Type]]</f>
        <v>Business</v>
      </c>
      <c r="C196" t="str">
        <f>tbl_data[[#This Row],[Country]]</f>
        <v>USA</v>
      </c>
      <c r="D196" t="str">
        <f>tbl_data[[#This Row],[Industry]]</f>
        <v>Import/Export</v>
      </c>
      <c r="E196">
        <f>tbl_data[[#This Row],[Tx_Count_30D]]</f>
        <v>12</v>
      </c>
      <c r="F196">
        <f>tbl_data[[#This Row],[Total_Amount_30D]]</f>
        <v>30984</v>
      </c>
      <c r="G196">
        <f>tbl_data[[#This Row],[Avg_Tx_Count_6M]]</f>
        <v>13</v>
      </c>
      <c r="H196">
        <f>tbl_data[[#This Row],[Avg_Total_Amount_6M]]</f>
        <v>79158</v>
      </c>
      <c r="I196">
        <f>IFERROR(tbl_Data2[[#This Row],[Tx_Count_30D]]/tbl_Data2[[#This Row],[Avg_Tx_Count_6M]],0)</f>
        <v>0.92307692307692313</v>
      </c>
      <c r="J196">
        <f>IFERROR(tbl_Data2[[#This Row],[Total_Amount_30D]]/tbl_Data2[[#This Row],[Avg_Total_Amount_6M]],0)</f>
        <v>0.3914196922610475</v>
      </c>
      <c r="K196">
        <f>_xlfn.XLOOKUP(tbl_Data2[[#This Row],[Country]], Geo_Map[Country], Geo_Map[Score], 5)</f>
        <v>1</v>
      </c>
      <c r="L196" cm="1">
        <f t="array" ref="L196">_xlfn.IFS(tbl_Data2[[#This Row],[Tx_Count_30D]]&lt;=5,2,tbl_Data2[[#This Row],[Tx_Count_30D]]&lt;=15,5,tbl_Data2[[#This Row],[Tx_Count_30D]]&lt;=30,7,tbl_Data2[[#This Row],[Tx_Count_30D]]&gt;30,9)</f>
        <v>5</v>
      </c>
      <c r="M196" cm="1">
        <f t="array" ref="M196">_xlfn.IFS(
tbl_Data2[[#This Row],[Total_Amount_30D]]&lt;10000,2,
tbl_Data2[[#This Row],[Total_Amount_30D]]&lt;25000,5,
tbl_Data2[[#This Row],[Total_Amount_30D]]&lt;50000,7,
tbl_Data2[[#This Row],[Total_Amount_30D]]&gt;=50000,9
)</f>
        <v>7</v>
      </c>
      <c r="N196" cm="1">
        <f t="array" ref="N196">_xlfn.IFS(
tbl_Data2[[#This Row],[Amount_Deviation]]&lt;1.5,2,
tbl_Data2[[#This Row],[Amount_Deviation]]&lt;3,6,
tbl_Data2[[#This Row],[Amount_Deviation]]&lt;6,8,
tbl_Data2[[#This Row],[Amount_Deviation]]&gt;=6,10
)</f>
        <v>2</v>
      </c>
      <c r="O196">
        <f>ROUND(
    (tbl_Data2[[#This Row],[Geo_Score]]*0.2) +
    (tbl_Data2[[#This Row],[Velocity_Score]]*0.25) +
    (tbl_Data2[[#This Row],[Volume_Score]]*0.25) +
    (tbl_Data2[[#This Row],[Deviation_Score]]*0.3),
1
)</f>
        <v>3.8</v>
      </c>
      <c r="P196" t="str" cm="1">
        <f t="array" ref="P196">_xlfn.IFS(
tbl_Data2[[#This Row],[Final_Risk_Score]]&lt;5.5,"Low",
tbl_Data2[[#This Row],[Final_Risk_Score]]&lt;7.5,"Medium",
tbl_Data2[[#This Row],[Final_Risk_Score]]&gt;=7.5,"High"
)</f>
        <v>Low</v>
      </c>
      <c r="Q196" t="str" cm="1">
        <f t="array" ref="Q196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197" spans="1:17" hidden="1">
      <c r="A197" t="str">
        <f>tbl_data[[#This Row],[Customer_ID]]</f>
        <v>CUST-196</v>
      </c>
      <c r="B197" t="str">
        <f>tbl_data[[#This Row],[Customer_Type]]</f>
        <v>Business</v>
      </c>
      <c r="C197" t="str">
        <f>tbl_data[[#This Row],[Country]]</f>
        <v>Seychelles</v>
      </c>
      <c r="D197" t="str">
        <f>tbl_data[[#This Row],[Industry]]</f>
        <v>IT Services</v>
      </c>
      <c r="E197">
        <f>tbl_data[[#This Row],[Tx_Count_30D]]</f>
        <v>31</v>
      </c>
      <c r="F197">
        <f>tbl_data[[#This Row],[Total_Amount_30D]]</f>
        <v>107599</v>
      </c>
      <c r="G197">
        <f>tbl_data[[#This Row],[Avg_Tx_Count_6M]]</f>
        <v>31</v>
      </c>
      <c r="H197">
        <f>tbl_data[[#This Row],[Avg_Total_Amount_6M]]</f>
        <v>63402</v>
      </c>
      <c r="I197">
        <f>IFERROR(tbl_Data2[[#This Row],[Tx_Count_30D]]/tbl_Data2[[#This Row],[Avg_Tx_Count_6M]],0)</f>
        <v>1</v>
      </c>
      <c r="J197">
        <f>IFERROR(tbl_Data2[[#This Row],[Total_Amount_30D]]/tbl_Data2[[#This Row],[Avg_Total_Amount_6M]],0)</f>
        <v>1.697091574398284</v>
      </c>
      <c r="K197">
        <f>_xlfn.XLOOKUP(tbl_Data2[[#This Row],[Country]], Geo_Map[Country], Geo_Map[Score], 5)</f>
        <v>9</v>
      </c>
      <c r="L197" cm="1">
        <f t="array" ref="L197">_xlfn.IFS(tbl_Data2[[#This Row],[Tx_Count_30D]]&lt;=5,2,tbl_Data2[[#This Row],[Tx_Count_30D]]&lt;=15,5,tbl_Data2[[#This Row],[Tx_Count_30D]]&lt;=30,7,tbl_Data2[[#This Row],[Tx_Count_30D]]&gt;30,9)</f>
        <v>9</v>
      </c>
      <c r="M197" cm="1">
        <f t="array" ref="M197">_xlfn.IFS(
tbl_Data2[[#This Row],[Total_Amount_30D]]&lt;10000,2,
tbl_Data2[[#This Row],[Total_Amount_30D]]&lt;25000,5,
tbl_Data2[[#This Row],[Total_Amount_30D]]&lt;50000,7,
tbl_Data2[[#This Row],[Total_Amount_30D]]&gt;=50000,9
)</f>
        <v>9</v>
      </c>
      <c r="N197" cm="1">
        <f t="array" ref="N197">_xlfn.IFS(
tbl_Data2[[#This Row],[Amount_Deviation]]&lt;1.5,2,
tbl_Data2[[#This Row],[Amount_Deviation]]&lt;3,6,
tbl_Data2[[#This Row],[Amount_Deviation]]&lt;6,8,
tbl_Data2[[#This Row],[Amount_Deviation]]&gt;=6,10
)</f>
        <v>6</v>
      </c>
      <c r="O197">
        <f>ROUND(
    (tbl_Data2[[#This Row],[Geo_Score]]*0.2) +
    (tbl_Data2[[#This Row],[Velocity_Score]]*0.25) +
    (tbl_Data2[[#This Row],[Volume_Score]]*0.25) +
    (tbl_Data2[[#This Row],[Deviation_Score]]*0.3),
1
)</f>
        <v>8.1</v>
      </c>
      <c r="P197" t="str" cm="1">
        <f t="array" ref="P197">_xlfn.IFS(
tbl_Data2[[#This Row],[Final_Risk_Score]]&lt;5.5,"Low",
tbl_Data2[[#This Row],[Final_Risk_Score]]&lt;7.5,"Medium",
tbl_Data2[[#This Row],[Final_Risk_Score]]&gt;=7.5,"High"
)</f>
        <v>High</v>
      </c>
      <c r="Q197" t="str" cm="1">
        <f t="array" ref="Q197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198" spans="1:17">
      <c r="A198" t="str">
        <f>tbl_data[[#This Row],[Customer_ID]]</f>
        <v>CUST-197</v>
      </c>
      <c r="B198" t="str">
        <f>tbl_data[[#This Row],[Customer_Type]]</f>
        <v>Business</v>
      </c>
      <c r="C198" t="str">
        <f>tbl_data[[#This Row],[Country]]</f>
        <v>Seychelles</v>
      </c>
      <c r="D198" t="str">
        <f>tbl_data[[#This Row],[Industry]]</f>
        <v>IT Services</v>
      </c>
      <c r="E198">
        <f>tbl_data[[#This Row],[Tx_Count_30D]]</f>
        <v>15</v>
      </c>
      <c r="F198">
        <f>tbl_data[[#This Row],[Total_Amount_30D]]</f>
        <v>13365</v>
      </c>
      <c r="G198">
        <f>tbl_data[[#This Row],[Avg_Tx_Count_6M]]</f>
        <v>5</v>
      </c>
      <c r="H198">
        <f>tbl_data[[#This Row],[Avg_Total_Amount_6M]]</f>
        <v>4178</v>
      </c>
      <c r="I198">
        <f>IFERROR(tbl_Data2[[#This Row],[Tx_Count_30D]]/tbl_Data2[[#This Row],[Avg_Tx_Count_6M]],0)</f>
        <v>3</v>
      </c>
      <c r="J198">
        <f>IFERROR(tbl_Data2[[#This Row],[Total_Amount_30D]]/tbl_Data2[[#This Row],[Avg_Total_Amount_6M]],0)</f>
        <v>3.1988989947343227</v>
      </c>
      <c r="K198">
        <f>_xlfn.XLOOKUP(tbl_Data2[[#This Row],[Country]], Geo_Map[Country], Geo_Map[Score], 5)</f>
        <v>9</v>
      </c>
      <c r="L198" cm="1">
        <f t="array" ref="L198">_xlfn.IFS(tbl_Data2[[#This Row],[Tx_Count_30D]]&lt;=5,2,tbl_Data2[[#This Row],[Tx_Count_30D]]&lt;=15,5,tbl_Data2[[#This Row],[Tx_Count_30D]]&lt;=30,7,tbl_Data2[[#This Row],[Tx_Count_30D]]&gt;30,9)</f>
        <v>5</v>
      </c>
      <c r="M198" cm="1">
        <f t="array" ref="M198">_xlfn.IFS(
tbl_Data2[[#This Row],[Total_Amount_30D]]&lt;10000,2,
tbl_Data2[[#This Row],[Total_Amount_30D]]&lt;25000,5,
tbl_Data2[[#This Row],[Total_Amount_30D]]&lt;50000,7,
tbl_Data2[[#This Row],[Total_Amount_30D]]&gt;=50000,9
)</f>
        <v>5</v>
      </c>
      <c r="N198" cm="1">
        <f t="array" ref="N198">_xlfn.IFS(
tbl_Data2[[#This Row],[Amount_Deviation]]&lt;1.5,2,
tbl_Data2[[#This Row],[Amount_Deviation]]&lt;3,6,
tbl_Data2[[#This Row],[Amount_Deviation]]&lt;6,8,
tbl_Data2[[#This Row],[Amount_Deviation]]&gt;=6,10
)</f>
        <v>8</v>
      </c>
      <c r="O198">
        <f>ROUND(
    (tbl_Data2[[#This Row],[Geo_Score]]*0.2) +
    (tbl_Data2[[#This Row],[Velocity_Score]]*0.25) +
    (tbl_Data2[[#This Row],[Volume_Score]]*0.25) +
    (tbl_Data2[[#This Row],[Deviation_Score]]*0.3),
1
)</f>
        <v>6.7</v>
      </c>
      <c r="P198" t="str" cm="1">
        <f t="array" ref="P198">_xlfn.IFS(
tbl_Data2[[#This Row],[Final_Risk_Score]]&lt;5.5,"Low",
tbl_Data2[[#This Row],[Final_Risk_Score]]&lt;7.5,"Medium",
tbl_Data2[[#This Row],[Final_Risk_Score]]&gt;=7.5,"High"
)</f>
        <v>Medium</v>
      </c>
      <c r="Q198" t="str" cm="1">
        <f t="array" ref="Q198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199" spans="1:17" hidden="1">
      <c r="A199" t="str">
        <f>tbl_data[[#This Row],[Customer_ID]]</f>
        <v>CUST-198</v>
      </c>
      <c r="B199" t="str">
        <f>tbl_data[[#This Row],[Customer_Type]]</f>
        <v>Individual</v>
      </c>
      <c r="C199" t="str">
        <f>tbl_data[[#This Row],[Country]]</f>
        <v>Hong Kong</v>
      </c>
      <c r="D199" t="str">
        <f>tbl_data[[#This Row],[Industry]]</f>
        <v>Trading</v>
      </c>
      <c r="E199">
        <f>tbl_data[[#This Row],[Tx_Count_30D]]</f>
        <v>8</v>
      </c>
      <c r="F199">
        <f>tbl_data[[#This Row],[Total_Amount_30D]]</f>
        <v>51634</v>
      </c>
      <c r="G199">
        <f>tbl_data[[#This Row],[Avg_Tx_Count_6M]]</f>
        <v>22</v>
      </c>
      <c r="H199">
        <f>tbl_data[[#This Row],[Avg_Total_Amount_6M]]</f>
        <v>38397</v>
      </c>
      <c r="I199">
        <f>IFERROR(tbl_Data2[[#This Row],[Tx_Count_30D]]/tbl_Data2[[#This Row],[Avg_Tx_Count_6M]],0)</f>
        <v>0.36363636363636365</v>
      </c>
      <c r="J199">
        <f>IFERROR(tbl_Data2[[#This Row],[Total_Amount_30D]]/tbl_Data2[[#This Row],[Avg_Total_Amount_6M]],0)</f>
        <v>1.3447404745162383</v>
      </c>
      <c r="K199">
        <f>_xlfn.XLOOKUP(tbl_Data2[[#This Row],[Country]], Geo_Map[Country], Geo_Map[Score], 5)</f>
        <v>6</v>
      </c>
      <c r="L199" cm="1">
        <f t="array" ref="L199">_xlfn.IFS(tbl_Data2[[#This Row],[Tx_Count_30D]]&lt;=5,2,tbl_Data2[[#This Row],[Tx_Count_30D]]&lt;=15,5,tbl_Data2[[#This Row],[Tx_Count_30D]]&lt;=30,7,tbl_Data2[[#This Row],[Tx_Count_30D]]&gt;30,9)</f>
        <v>5</v>
      </c>
      <c r="M199" cm="1">
        <f t="array" ref="M199">_xlfn.IFS(
tbl_Data2[[#This Row],[Total_Amount_30D]]&lt;10000,2,
tbl_Data2[[#This Row],[Total_Amount_30D]]&lt;25000,5,
tbl_Data2[[#This Row],[Total_Amount_30D]]&lt;50000,7,
tbl_Data2[[#This Row],[Total_Amount_30D]]&gt;=50000,9
)</f>
        <v>9</v>
      </c>
      <c r="N199" cm="1">
        <f t="array" ref="N199">_xlfn.IFS(
tbl_Data2[[#This Row],[Amount_Deviation]]&lt;1.5,2,
tbl_Data2[[#This Row],[Amount_Deviation]]&lt;3,6,
tbl_Data2[[#This Row],[Amount_Deviation]]&lt;6,8,
tbl_Data2[[#This Row],[Amount_Deviation]]&gt;=6,10
)</f>
        <v>2</v>
      </c>
      <c r="O199">
        <f>ROUND(
    (tbl_Data2[[#This Row],[Geo_Score]]*0.2) +
    (tbl_Data2[[#This Row],[Velocity_Score]]*0.25) +
    (tbl_Data2[[#This Row],[Volume_Score]]*0.25) +
    (tbl_Data2[[#This Row],[Deviation_Score]]*0.3),
1
)</f>
        <v>5.3</v>
      </c>
      <c r="P199" t="str" cm="1">
        <f t="array" ref="P199">_xlfn.IFS(
tbl_Data2[[#This Row],[Final_Risk_Score]]&lt;5.5,"Low",
tbl_Data2[[#This Row],[Final_Risk_Score]]&lt;7.5,"Medium",
tbl_Data2[[#This Row],[Final_Risk_Score]]&gt;=7.5,"High"
)</f>
        <v>Low</v>
      </c>
      <c r="Q199" t="str" cm="1">
        <f t="array" ref="Q199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200" spans="1:17">
      <c r="A200" t="str">
        <f>tbl_data[[#This Row],[Customer_ID]]</f>
        <v>CUST-199</v>
      </c>
      <c r="B200" t="str">
        <f>tbl_data[[#This Row],[Customer_Type]]</f>
        <v>Business</v>
      </c>
      <c r="C200" t="str">
        <f>tbl_data[[#This Row],[Country]]</f>
        <v>Cyprus</v>
      </c>
      <c r="D200" t="str">
        <f>tbl_data[[#This Row],[Industry]]</f>
        <v>Trading</v>
      </c>
      <c r="E200">
        <f>tbl_data[[#This Row],[Tx_Count_30D]]</f>
        <v>15</v>
      </c>
      <c r="F200">
        <f>tbl_data[[#This Row],[Total_Amount_30D]]</f>
        <v>42108</v>
      </c>
      <c r="G200">
        <f>tbl_data[[#This Row],[Avg_Tx_Count_6M]]</f>
        <v>8</v>
      </c>
      <c r="H200">
        <f>tbl_data[[#This Row],[Avg_Total_Amount_6M]]</f>
        <v>19083</v>
      </c>
      <c r="I200">
        <f>IFERROR(tbl_Data2[[#This Row],[Tx_Count_30D]]/tbl_Data2[[#This Row],[Avg_Tx_Count_6M]],0)</f>
        <v>1.875</v>
      </c>
      <c r="J200">
        <f>IFERROR(tbl_Data2[[#This Row],[Total_Amount_30D]]/tbl_Data2[[#This Row],[Avg_Total_Amount_6M]],0)</f>
        <v>2.2065712938217263</v>
      </c>
      <c r="K200">
        <f>_xlfn.XLOOKUP(tbl_Data2[[#This Row],[Country]], Geo_Map[Country], Geo_Map[Score], 5)</f>
        <v>7</v>
      </c>
      <c r="L200" cm="1">
        <f t="array" ref="L200">_xlfn.IFS(tbl_Data2[[#This Row],[Tx_Count_30D]]&lt;=5,2,tbl_Data2[[#This Row],[Tx_Count_30D]]&lt;=15,5,tbl_Data2[[#This Row],[Tx_Count_30D]]&lt;=30,7,tbl_Data2[[#This Row],[Tx_Count_30D]]&gt;30,9)</f>
        <v>5</v>
      </c>
      <c r="M200" cm="1">
        <f t="array" ref="M200">_xlfn.IFS(
tbl_Data2[[#This Row],[Total_Amount_30D]]&lt;10000,2,
tbl_Data2[[#This Row],[Total_Amount_30D]]&lt;25000,5,
tbl_Data2[[#This Row],[Total_Amount_30D]]&lt;50000,7,
tbl_Data2[[#This Row],[Total_Amount_30D]]&gt;=50000,9
)</f>
        <v>7</v>
      </c>
      <c r="N200" cm="1">
        <f t="array" ref="N200">_xlfn.IFS(
tbl_Data2[[#This Row],[Amount_Deviation]]&lt;1.5,2,
tbl_Data2[[#This Row],[Amount_Deviation]]&lt;3,6,
tbl_Data2[[#This Row],[Amount_Deviation]]&lt;6,8,
tbl_Data2[[#This Row],[Amount_Deviation]]&gt;=6,10
)</f>
        <v>6</v>
      </c>
      <c r="O200">
        <f>ROUND(
    (tbl_Data2[[#This Row],[Geo_Score]]*0.2) +
    (tbl_Data2[[#This Row],[Velocity_Score]]*0.25) +
    (tbl_Data2[[#This Row],[Volume_Score]]*0.25) +
    (tbl_Data2[[#This Row],[Deviation_Score]]*0.3),
1
)</f>
        <v>6.2</v>
      </c>
      <c r="P200" t="str" cm="1">
        <f t="array" ref="P200">_xlfn.IFS(
tbl_Data2[[#This Row],[Final_Risk_Score]]&lt;5.5,"Low",
tbl_Data2[[#This Row],[Final_Risk_Score]]&lt;7.5,"Medium",
tbl_Data2[[#This Row],[Final_Risk_Score]]&gt;=7.5,"High"
)</f>
        <v>Medium</v>
      </c>
      <c r="Q200" t="str" cm="1">
        <f t="array" ref="Q200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01" spans="1:17" hidden="1">
      <c r="A201" t="str">
        <f>tbl_data[[#This Row],[Customer_ID]]</f>
        <v>CUST-200</v>
      </c>
      <c r="B201" t="str">
        <f>tbl_data[[#This Row],[Customer_Type]]</f>
        <v>Individual</v>
      </c>
      <c r="C201" t="str">
        <f>tbl_data[[#This Row],[Country]]</f>
        <v>Seychelles</v>
      </c>
      <c r="D201" t="str">
        <f>tbl_data[[#This Row],[Industry]]</f>
        <v>Consulting</v>
      </c>
      <c r="E201">
        <f>tbl_data[[#This Row],[Tx_Count_30D]]</f>
        <v>45</v>
      </c>
      <c r="F201">
        <f>tbl_data[[#This Row],[Total_Amount_30D]]</f>
        <v>73638</v>
      </c>
      <c r="G201">
        <f>tbl_data[[#This Row],[Avg_Tx_Count_6M]]</f>
        <v>24</v>
      </c>
      <c r="H201">
        <f>tbl_data[[#This Row],[Avg_Total_Amount_6M]]</f>
        <v>43196</v>
      </c>
      <c r="I201">
        <f>IFERROR(tbl_Data2[[#This Row],[Tx_Count_30D]]/tbl_Data2[[#This Row],[Avg_Tx_Count_6M]],0)</f>
        <v>1.875</v>
      </c>
      <c r="J201">
        <f>IFERROR(tbl_Data2[[#This Row],[Total_Amount_30D]]/tbl_Data2[[#This Row],[Avg_Total_Amount_6M]],0)</f>
        <v>1.7047411797388647</v>
      </c>
      <c r="K201">
        <f>_xlfn.XLOOKUP(tbl_Data2[[#This Row],[Country]], Geo_Map[Country], Geo_Map[Score], 5)</f>
        <v>9</v>
      </c>
      <c r="L201" cm="1">
        <f t="array" ref="L201">_xlfn.IFS(tbl_Data2[[#This Row],[Tx_Count_30D]]&lt;=5,2,tbl_Data2[[#This Row],[Tx_Count_30D]]&lt;=15,5,tbl_Data2[[#This Row],[Tx_Count_30D]]&lt;=30,7,tbl_Data2[[#This Row],[Tx_Count_30D]]&gt;30,9)</f>
        <v>9</v>
      </c>
      <c r="M201" cm="1">
        <f t="array" ref="M201">_xlfn.IFS(
tbl_Data2[[#This Row],[Total_Amount_30D]]&lt;10000,2,
tbl_Data2[[#This Row],[Total_Amount_30D]]&lt;25000,5,
tbl_Data2[[#This Row],[Total_Amount_30D]]&lt;50000,7,
tbl_Data2[[#This Row],[Total_Amount_30D]]&gt;=50000,9
)</f>
        <v>9</v>
      </c>
      <c r="N201" cm="1">
        <f t="array" ref="N201">_xlfn.IFS(
tbl_Data2[[#This Row],[Amount_Deviation]]&lt;1.5,2,
tbl_Data2[[#This Row],[Amount_Deviation]]&lt;3,6,
tbl_Data2[[#This Row],[Amount_Deviation]]&lt;6,8,
tbl_Data2[[#This Row],[Amount_Deviation]]&gt;=6,10
)</f>
        <v>6</v>
      </c>
      <c r="O201">
        <f>ROUND(
    (tbl_Data2[[#This Row],[Geo_Score]]*0.2) +
    (tbl_Data2[[#This Row],[Velocity_Score]]*0.25) +
    (tbl_Data2[[#This Row],[Volume_Score]]*0.25) +
    (tbl_Data2[[#This Row],[Deviation_Score]]*0.3),
1
)</f>
        <v>8.1</v>
      </c>
      <c r="P201" t="str" cm="1">
        <f t="array" ref="P201">_xlfn.IFS(
tbl_Data2[[#This Row],[Final_Risk_Score]]&lt;5.5,"Low",
tbl_Data2[[#This Row],[Final_Risk_Score]]&lt;7.5,"Medium",
tbl_Data2[[#This Row],[Final_Risk_Score]]&gt;=7.5,"High"
)</f>
        <v>High</v>
      </c>
      <c r="Q201" t="str" cm="1">
        <f t="array" ref="Q201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202" spans="1:17" hidden="1">
      <c r="A202" t="str">
        <f>tbl_data[[#This Row],[Customer_ID]]</f>
        <v>CUST-201</v>
      </c>
      <c r="B202" t="str">
        <f>tbl_data[[#This Row],[Customer_Type]]</f>
        <v>Business</v>
      </c>
      <c r="C202" t="str">
        <f>tbl_data[[#This Row],[Country]]</f>
        <v>USA</v>
      </c>
      <c r="D202" t="str">
        <f>tbl_data[[#This Row],[Industry]]</f>
        <v>Trading</v>
      </c>
      <c r="E202">
        <f>tbl_data[[#This Row],[Tx_Count_30D]]</f>
        <v>14</v>
      </c>
      <c r="F202">
        <f>tbl_data[[#This Row],[Total_Amount_30D]]</f>
        <v>20416</v>
      </c>
      <c r="G202">
        <f>tbl_data[[#This Row],[Avg_Tx_Count_6M]]</f>
        <v>7</v>
      </c>
      <c r="H202">
        <f>tbl_data[[#This Row],[Avg_Total_Amount_6M]]</f>
        <v>31171</v>
      </c>
      <c r="I202">
        <f>IFERROR(tbl_Data2[[#This Row],[Tx_Count_30D]]/tbl_Data2[[#This Row],[Avg_Tx_Count_6M]],0)</f>
        <v>2</v>
      </c>
      <c r="J202">
        <f>IFERROR(tbl_Data2[[#This Row],[Total_Amount_30D]]/tbl_Data2[[#This Row],[Avg_Total_Amount_6M]],0)</f>
        <v>0.65496775849347144</v>
      </c>
      <c r="K202">
        <f>_xlfn.XLOOKUP(tbl_Data2[[#This Row],[Country]], Geo_Map[Country], Geo_Map[Score], 5)</f>
        <v>1</v>
      </c>
      <c r="L202" cm="1">
        <f t="array" ref="L202">_xlfn.IFS(tbl_Data2[[#This Row],[Tx_Count_30D]]&lt;=5,2,tbl_Data2[[#This Row],[Tx_Count_30D]]&lt;=15,5,tbl_Data2[[#This Row],[Tx_Count_30D]]&lt;=30,7,tbl_Data2[[#This Row],[Tx_Count_30D]]&gt;30,9)</f>
        <v>5</v>
      </c>
      <c r="M202" cm="1">
        <f t="array" ref="M202">_xlfn.IFS(
tbl_Data2[[#This Row],[Total_Amount_30D]]&lt;10000,2,
tbl_Data2[[#This Row],[Total_Amount_30D]]&lt;25000,5,
tbl_Data2[[#This Row],[Total_Amount_30D]]&lt;50000,7,
tbl_Data2[[#This Row],[Total_Amount_30D]]&gt;=50000,9
)</f>
        <v>5</v>
      </c>
      <c r="N202" cm="1">
        <f t="array" ref="N202">_xlfn.IFS(
tbl_Data2[[#This Row],[Amount_Deviation]]&lt;1.5,2,
tbl_Data2[[#This Row],[Amount_Deviation]]&lt;3,6,
tbl_Data2[[#This Row],[Amount_Deviation]]&lt;6,8,
tbl_Data2[[#This Row],[Amount_Deviation]]&gt;=6,10
)</f>
        <v>2</v>
      </c>
      <c r="O202">
        <f>ROUND(
    (tbl_Data2[[#This Row],[Geo_Score]]*0.2) +
    (tbl_Data2[[#This Row],[Velocity_Score]]*0.25) +
    (tbl_Data2[[#This Row],[Volume_Score]]*0.25) +
    (tbl_Data2[[#This Row],[Deviation_Score]]*0.3),
1
)</f>
        <v>3.3</v>
      </c>
      <c r="P202" t="str" cm="1">
        <f t="array" ref="P202">_xlfn.IFS(
tbl_Data2[[#This Row],[Final_Risk_Score]]&lt;5.5,"Low",
tbl_Data2[[#This Row],[Final_Risk_Score]]&lt;7.5,"Medium",
tbl_Data2[[#This Row],[Final_Risk_Score]]&gt;=7.5,"High"
)</f>
        <v>Low</v>
      </c>
      <c r="Q202" t="str" cm="1">
        <f t="array" ref="Q202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203" spans="1:17">
      <c r="A203" t="str">
        <f>tbl_data[[#This Row],[Customer_ID]]</f>
        <v>CUST-202</v>
      </c>
      <c r="B203" t="str">
        <f>tbl_data[[#This Row],[Customer_Type]]</f>
        <v>Business</v>
      </c>
      <c r="C203" t="str">
        <f>tbl_data[[#This Row],[Country]]</f>
        <v>USA</v>
      </c>
      <c r="D203" t="str">
        <f>tbl_data[[#This Row],[Industry]]</f>
        <v>Logistics</v>
      </c>
      <c r="E203">
        <f>tbl_data[[#This Row],[Tx_Count_30D]]</f>
        <v>30</v>
      </c>
      <c r="F203">
        <f>tbl_data[[#This Row],[Total_Amount_30D]]</f>
        <v>71381</v>
      </c>
      <c r="G203">
        <f>tbl_data[[#This Row],[Avg_Tx_Count_6M]]</f>
        <v>26</v>
      </c>
      <c r="H203">
        <f>tbl_data[[#This Row],[Avg_Total_Amount_6M]]</f>
        <v>25987</v>
      </c>
      <c r="I203">
        <f>IFERROR(tbl_Data2[[#This Row],[Tx_Count_30D]]/tbl_Data2[[#This Row],[Avg_Tx_Count_6M]],0)</f>
        <v>1.1538461538461537</v>
      </c>
      <c r="J203">
        <f>IFERROR(tbl_Data2[[#This Row],[Total_Amount_30D]]/tbl_Data2[[#This Row],[Avg_Total_Amount_6M]],0)</f>
        <v>2.7467964751606573</v>
      </c>
      <c r="K203">
        <f>_xlfn.XLOOKUP(tbl_Data2[[#This Row],[Country]], Geo_Map[Country], Geo_Map[Score], 5)</f>
        <v>1</v>
      </c>
      <c r="L203" cm="1">
        <f t="array" ref="L203">_xlfn.IFS(tbl_Data2[[#This Row],[Tx_Count_30D]]&lt;=5,2,tbl_Data2[[#This Row],[Tx_Count_30D]]&lt;=15,5,tbl_Data2[[#This Row],[Tx_Count_30D]]&lt;=30,7,tbl_Data2[[#This Row],[Tx_Count_30D]]&gt;30,9)</f>
        <v>7</v>
      </c>
      <c r="M203" cm="1">
        <f t="array" ref="M203">_xlfn.IFS(
tbl_Data2[[#This Row],[Total_Amount_30D]]&lt;10000,2,
tbl_Data2[[#This Row],[Total_Amount_30D]]&lt;25000,5,
tbl_Data2[[#This Row],[Total_Amount_30D]]&lt;50000,7,
tbl_Data2[[#This Row],[Total_Amount_30D]]&gt;=50000,9
)</f>
        <v>9</v>
      </c>
      <c r="N203" cm="1">
        <f t="array" ref="N203">_xlfn.IFS(
tbl_Data2[[#This Row],[Amount_Deviation]]&lt;1.5,2,
tbl_Data2[[#This Row],[Amount_Deviation]]&lt;3,6,
tbl_Data2[[#This Row],[Amount_Deviation]]&lt;6,8,
tbl_Data2[[#This Row],[Amount_Deviation]]&gt;=6,10
)</f>
        <v>6</v>
      </c>
      <c r="O203">
        <f>ROUND(
    (tbl_Data2[[#This Row],[Geo_Score]]*0.2) +
    (tbl_Data2[[#This Row],[Velocity_Score]]*0.25) +
    (tbl_Data2[[#This Row],[Volume_Score]]*0.25) +
    (tbl_Data2[[#This Row],[Deviation_Score]]*0.3),
1
)</f>
        <v>6</v>
      </c>
      <c r="P203" t="str" cm="1">
        <f t="array" ref="P203">_xlfn.IFS(
tbl_Data2[[#This Row],[Final_Risk_Score]]&lt;5.5,"Low",
tbl_Data2[[#This Row],[Final_Risk_Score]]&lt;7.5,"Medium",
tbl_Data2[[#This Row],[Final_Risk_Score]]&gt;=7.5,"High"
)</f>
        <v>Medium</v>
      </c>
      <c r="Q203" t="str" cm="1">
        <f t="array" ref="Q203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04" spans="1:17">
      <c r="A204" t="str">
        <f>tbl_data[[#This Row],[Customer_ID]]</f>
        <v>CUST-203</v>
      </c>
      <c r="B204" t="str">
        <f>tbl_data[[#This Row],[Customer_Type]]</f>
        <v>Business</v>
      </c>
      <c r="C204" t="str">
        <f>tbl_data[[#This Row],[Country]]</f>
        <v>Hong Kong</v>
      </c>
      <c r="D204" t="str">
        <f>tbl_data[[#This Row],[Industry]]</f>
        <v>Manufacturing</v>
      </c>
      <c r="E204">
        <f>tbl_data[[#This Row],[Tx_Count_30D]]</f>
        <v>54</v>
      </c>
      <c r="F204">
        <f>tbl_data[[#This Row],[Total_Amount_30D]]</f>
        <v>25936</v>
      </c>
      <c r="G204">
        <f>tbl_data[[#This Row],[Avg_Tx_Count_6M]]</f>
        <v>5</v>
      </c>
      <c r="H204">
        <f>tbl_data[[#This Row],[Avg_Total_Amount_6M]]</f>
        <v>53911</v>
      </c>
      <c r="I204">
        <f>IFERROR(tbl_Data2[[#This Row],[Tx_Count_30D]]/tbl_Data2[[#This Row],[Avg_Tx_Count_6M]],0)</f>
        <v>10.8</v>
      </c>
      <c r="J204">
        <f>IFERROR(tbl_Data2[[#This Row],[Total_Amount_30D]]/tbl_Data2[[#This Row],[Avg_Total_Amount_6M]],0)</f>
        <v>0.48108920257461374</v>
      </c>
      <c r="K204">
        <f>_xlfn.XLOOKUP(tbl_Data2[[#This Row],[Country]], Geo_Map[Country], Geo_Map[Score], 5)</f>
        <v>6</v>
      </c>
      <c r="L204" cm="1">
        <f t="array" ref="L204">_xlfn.IFS(tbl_Data2[[#This Row],[Tx_Count_30D]]&lt;=5,2,tbl_Data2[[#This Row],[Tx_Count_30D]]&lt;=15,5,tbl_Data2[[#This Row],[Tx_Count_30D]]&lt;=30,7,tbl_Data2[[#This Row],[Tx_Count_30D]]&gt;30,9)</f>
        <v>9</v>
      </c>
      <c r="M204" cm="1">
        <f t="array" ref="M204">_xlfn.IFS(
tbl_Data2[[#This Row],[Total_Amount_30D]]&lt;10000,2,
tbl_Data2[[#This Row],[Total_Amount_30D]]&lt;25000,5,
tbl_Data2[[#This Row],[Total_Amount_30D]]&lt;50000,7,
tbl_Data2[[#This Row],[Total_Amount_30D]]&gt;=50000,9
)</f>
        <v>7</v>
      </c>
      <c r="N204" cm="1">
        <f t="array" ref="N204">_xlfn.IFS(
tbl_Data2[[#This Row],[Amount_Deviation]]&lt;1.5,2,
tbl_Data2[[#This Row],[Amount_Deviation]]&lt;3,6,
tbl_Data2[[#This Row],[Amount_Deviation]]&lt;6,8,
tbl_Data2[[#This Row],[Amount_Deviation]]&gt;=6,10
)</f>
        <v>2</v>
      </c>
      <c r="O204">
        <f>ROUND(
    (tbl_Data2[[#This Row],[Geo_Score]]*0.2) +
    (tbl_Data2[[#This Row],[Velocity_Score]]*0.25) +
    (tbl_Data2[[#This Row],[Volume_Score]]*0.25) +
    (tbl_Data2[[#This Row],[Deviation_Score]]*0.3),
1
)</f>
        <v>5.8</v>
      </c>
      <c r="P204" t="str" cm="1">
        <f t="array" ref="P204">_xlfn.IFS(
tbl_Data2[[#This Row],[Final_Risk_Score]]&lt;5.5,"Low",
tbl_Data2[[#This Row],[Final_Risk_Score]]&lt;7.5,"Medium",
tbl_Data2[[#This Row],[Final_Risk_Score]]&gt;=7.5,"High"
)</f>
        <v>Medium</v>
      </c>
      <c r="Q204" t="str" cm="1">
        <f t="array" ref="Q204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05" spans="1:17" hidden="1">
      <c r="A205" t="str">
        <f>tbl_data[[#This Row],[Customer_ID]]</f>
        <v>CUST-204</v>
      </c>
      <c r="B205" t="str">
        <f>tbl_data[[#This Row],[Customer_Type]]</f>
        <v>Business</v>
      </c>
      <c r="C205" t="str">
        <f>tbl_data[[#This Row],[Country]]</f>
        <v>USA</v>
      </c>
      <c r="D205" t="str">
        <f>tbl_data[[#This Row],[Industry]]</f>
        <v>IT Services</v>
      </c>
      <c r="E205">
        <f>tbl_data[[#This Row],[Tx_Count_30D]]</f>
        <v>16</v>
      </c>
      <c r="F205">
        <f>tbl_data[[#This Row],[Total_Amount_30D]]</f>
        <v>15923</v>
      </c>
      <c r="G205">
        <f>tbl_data[[#This Row],[Avg_Tx_Count_6M]]</f>
        <v>4</v>
      </c>
      <c r="H205">
        <f>tbl_data[[#This Row],[Avg_Total_Amount_6M]]</f>
        <v>66334</v>
      </c>
      <c r="I205">
        <f>IFERROR(tbl_Data2[[#This Row],[Tx_Count_30D]]/tbl_Data2[[#This Row],[Avg_Tx_Count_6M]],0)</f>
        <v>4</v>
      </c>
      <c r="J205">
        <f>IFERROR(tbl_Data2[[#This Row],[Total_Amount_30D]]/tbl_Data2[[#This Row],[Avg_Total_Amount_6M]],0)</f>
        <v>0.24004281364006391</v>
      </c>
      <c r="K205">
        <f>_xlfn.XLOOKUP(tbl_Data2[[#This Row],[Country]], Geo_Map[Country], Geo_Map[Score], 5)</f>
        <v>1</v>
      </c>
      <c r="L205" cm="1">
        <f t="array" ref="L205">_xlfn.IFS(tbl_Data2[[#This Row],[Tx_Count_30D]]&lt;=5,2,tbl_Data2[[#This Row],[Tx_Count_30D]]&lt;=15,5,tbl_Data2[[#This Row],[Tx_Count_30D]]&lt;=30,7,tbl_Data2[[#This Row],[Tx_Count_30D]]&gt;30,9)</f>
        <v>7</v>
      </c>
      <c r="M205" cm="1">
        <f t="array" ref="M205">_xlfn.IFS(
tbl_Data2[[#This Row],[Total_Amount_30D]]&lt;10000,2,
tbl_Data2[[#This Row],[Total_Amount_30D]]&lt;25000,5,
tbl_Data2[[#This Row],[Total_Amount_30D]]&lt;50000,7,
tbl_Data2[[#This Row],[Total_Amount_30D]]&gt;=50000,9
)</f>
        <v>5</v>
      </c>
      <c r="N205" cm="1">
        <f t="array" ref="N205">_xlfn.IFS(
tbl_Data2[[#This Row],[Amount_Deviation]]&lt;1.5,2,
tbl_Data2[[#This Row],[Amount_Deviation]]&lt;3,6,
tbl_Data2[[#This Row],[Amount_Deviation]]&lt;6,8,
tbl_Data2[[#This Row],[Amount_Deviation]]&gt;=6,10
)</f>
        <v>2</v>
      </c>
      <c r="O205">
        <f>ROUND(
    (tbl_Data2[[#This Row],[Geo_Score]]*0.2) +
    (tbl_Data2[[#This Row],[Velocity_Score]]*0.25) +
    (tbl_Data2[[#This Row],[Volume_Score]]*0.25) +
    (tbl_Data2[[#This Row],[Deviation_Score]]*0.3),
1
)</f>
        <v>3.8</v>
      </c>
      <c r="P205" t="str" cm="1">
        <f t="array" ref="P205">_xlfn.IFS(
tbl_Data2[[#This Row],[Final_Risk_Score]]&lt;5.5,"Low",
tbl_Data2[[#This Row],[Final_Risk_Score]]&lt;7.5,"Medium",
tbl_Data2[[#This Row],[Final_Risk_Score]]&gt;=7.5,"High"
)</f>
        <v>Low</v>
      </c>
      <c r="Q205" t="str" cm="1">
        <f t="array" ref="Q205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206" spans="1:17">
      <c r="A206" t="str">
        <f>tbl_data[[#This Row],[Customer_ID]]</f>
        <v>CUST-205</v>
      </c>
      <c r="B206" t="str">
        <f>tbl_data[[#This Row],[Customer_Type]]</f>
        <v>Business</v>
      </c>
      <c r="C206" t="str">
        <f>tbl_data[[#This Row],[Country]]</f>
        <v>Cyprus</v>
      </c>
      <c r="D206" t="str">
        <f>tbl_data[[#This Row],[Industry]]</f>
        <v>Trading</v>
      </c>
      <c r="E206">
        <f>tbl_data[[#This Row],[Tx_Count_30D]]</f>
        <v>14</v>
      </c>
      <c r="F206">
        <f>tbl_data[[#This Row],[Total_Amount_30D]]</f>
        <v>12356</v>
      </c>
      <c r="G206">
        <f>tbl_data[[#This Row],[Avg_Tx_Count_6M]]</f>
        <v>6</v>
      </c>
      <c r="H206">
        <f>tbl_data[[#This Row],[Avg_Total_Amount_6M]]</f>
        <v>7343</v>
      </c>
      <c r="I206">
        <f>IFERROR(tbl_Data2[[#This Row],[Tx_Count_30D]]/tbl_Data2[[#This Row],[Avg_Tx_Count_6M]],0)</f>
        <v>2.3333333333333335</v>
      </c>
      <c r="J206">
        <f>IFERROR(tbl_Data2[[#This Row],[Total_Amount_30D]]/tbl_Data2[[#This Row],[Avg_Total_Amount_6M]],0)</f>
        <v>1.6826909982296063</v>
      </c>
      <c r="K206">
        <f>_xlfn.XLOOKUP(tbl_Data2[[#This Row],[Country]], Geo_Map[Country], Geo_Map[Score], 5)</f>
        <v>7</v>
      </c>
      <c r="L206" cm="1">
        <f t="array" ref="L206">_xlfn.IFS(tbl_Data2[[#This Row],[Tx_Count_30D]]&lt;=5,2,tbl_Data2[[#This Row],[Tx_Count_30D]]&lt;=15,5,tbl_Data2[[#This Row],[Tx_Count_30D]]&lt;=30,7,tbl_Data2[[#This Row],[Tx_Count_30D]]&gt;30,9)</f>
        <v>5</v>
      </c>
      <c r="M206" cm="1">
        <f t="array" ref="M206">_xlfn.IFS(
tbl_Data2[[#This Row],[Total_Amount_30D]]&lt;10000,2,
tbl_Data2[[#This Row],[Total_Amount_30D]]&lt;25000,5,
tbl_Data2[[#This Row],[Total_Amount_30D]]&lt;50000,7,
tbl_Data2[[#This Row],[Total_Amount_30D]]&gt;=50000,9
)</f>
        <v>5</v>
      </c>
      <c r="N206" cm="1">
        <f t="array" ref="N206">_xlfn.IFS(
tbl_Data2[[#This Row],[Amount_Deviation]]&lt;1.5,2,
tbl_Data2[[#This Row],[Amount_Deviation]]&lt;3,6,
tbl_Data2[[#This Row],[Amount_Deviation]]&lt;6,8,
tbl_Data2[[#This Row],[Amount_Deviation]]&gt;=6,10
)</f>
        <v>6</v>
      </c>
      <c r="O206">
        <f>ROUND(
    (tbl_Data2[[#This Row],[Geo_Score]]*0.2) +
    (tbl_Data2[[#This Row],[Velocity_Score]]*0.25) +
    (tbl_Data2[[#This Row],[Volume_Score]]*0.25) +
    (tbl_Data2[[#This Row],[Deviation_Score]]*0.3),
1
)</f>
        <v>5.7</v>
      </c>
      <c r="P206" t="str" cm="1">
        <f t="array" ref="P206">_xlfn.IFS(
tbl_Data2[[#This Row],[Final_Risk_Score]]&lt;5.5,"Low",
tbl_Data2[[#This Row],[Final_Risk_Score]]&lt;7.5,"Medium",
tbl_Data2[[#This Row],[Final_Risk_Score]]&gt;=7.5,"High"
)</f>
        <v>Medium</v>
      </c>
      <c r="Q206" t="str" cm="1">
        <f t="array" ref="Q206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07" spans="1:17">
      <c r="A207" t="str">
        <f>tbl_data[[#This Row],[Customer_ID]]</f>
        <v>CUST-206</v>
      </c>
      <c r="B207" t="str">
        <f>tbl_data[[#This Row],[Customer_Type]]</f>
        <v>Individual</v>
      </c>
      <c r="C207" t="str">
        <f>tbl_data[[#This Row],[Country]]</f>
        <v>USA</v>
      </c>
      <c r="D207" t="str">
        <f>tbl_data[[#This Row],[Industry]]</f>
        <v>Manufacturing</v>
      </c>
      <c r="E207">
        <f>tbl_data[[#This Row],[Tx_Count_30D]]</f>
        <v>25</v>
      </c>
      <c r="F207">
        <f>tbl_data[[#This Row],[Total_Amount_30D]]</f>
        <v>99756</v>
      </c>
      <c r="G207">
        <f>tbl_data[[#This Row],[Avg_Tx_Count_6M]]</f>
        <v>9</v>
      </c>
      <c r="H207">
        <f>tbl_data[[#This Row],[Avg_Total_Amount_6M]]</f>
        <v>15689</v>
      </c>
      <c r="I207">
        <f>IFERROR(tbl_Data2[[#This Row],[Tx_Count_30D]]/tbl_Data2[[#This Row],[Avg_Tx_Count_6M]],0)</f>
        <v>2.7777777777777777</v>
      </c>
      <c r="J207">
        <f>IFERROR(tbl_Data2[[#This Row],[Total_Amount_30D]]/tbl_Data2[[#This Row],[Avg_Total_Amount_6M]],0)</f>
        <v>6.3583402383835805</v>
      </c>
      <c r="K207">
        <f>_xlfn.XLOOKUP(tbl_Data2[[#This Row],[Country]], Geo_Map[Country], Geo_Map[Score], 5)</f>
        <v>1</v>
      </c>
      <c r="L207" cm="1">
        <f t="array" ref="L207">_xlfn.IFS(tbl_Data2[[#This Row],[Tx_Count_30D]]&lt;=5,2,tbl_Data2[[#This Row],[Tx_Count_30D]]&lt;=15,5,tbl_Data2[[#This Row],[Tx_Count_30D]]&lt;=30,7,tbl_Data2[[#This Row],[Tx_Count_30D]]&gt;30,9)</f>
        <v>7</v>
      </c>
      <c r="M207" cm="1">
        <f t="array" ref="M207">_xlfn.IFS(
tbl_Data2[[#This Row],[Total_Amount_30D]]&lt;10000,2,
tbl_Data2[[#This Row],[Total_Amount_30D]]&lt;25000,5,
tbl_Data2[[#This Row],[Total_Amount_30D]]&lt;50000,7,
tbl_Data2[[#This Row],[Total_Amount_30D]]&gt;=50000,9
)</f>
        <v>9</v>
      </c>
      <c r="N207" cm="1">
        <f t="array" ref="N207">_xlfn.IFS(
tbl_Data2[[#This Row],[Amount_Deviation]]&lt;1.5,2,
tbl_Data2[[#This Row],[Amount_Deviation]]&lt;3,6,
tbl_Data2[[#This Row],[Amount_Deviation]]&lt;6,8,
tbl_Data2[[#This Row],[Amount_Deviation]]&gt;=6,10
)</f>
        <v>10</v>
      </c>
      <c r="O207">
        <f>ROUND(
    (tbl_Data2[[#This Row],[Geo_Score]]*0.2) +
    (tbl_Data2[[#This Row],[Velocity_Score]]*0.25) +
    (tbl_Data2[[#This Row],[Volume_Score]]*0.25) +
    (tbl_Data2[[#This Row],[Deviation_Score]]*0.3),
1
)</f>
        <v>7.2</v>
      </c>
      <c r="P207" t="str" cm="1">
        <f t="array" ref="P207">_xlfn.IFS(
tbl_Data2[[#This Row],[Final_Risk_Score]]&lt;5.5,"Low",
tbl_Data2[[#This Row],[Final_Risk_Score]]&lt;7.5,"Medium",
tbl_Data2[[#This Row],[Final_Risk_Score]]&gt;=7.5,"High"
)</f>
        <v>Medium</v>
      </c>
      <c r="Q207" t="str" cm="1">
        <f t="array" ref="Q207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08" spans="1:17" hidden="1">
      <c r="A208" t="str">
        <f>tbl_data[[#This Row],[Customer_ID]]</f>
        <v>CUST-207</v>
      </c>
      <c r="B208" t="str">
        <f>tbl_data[[#This Row],[Customer_Type]]</f>
        <v>Business</v>
      </c>
      <c r="C208" t="str">
        <f>tbl_data[[#This Row],[Country]]</f>
        <v>UAE</v>
      </c>
      <c r="D208" t="str">
        <f>tbl_data[[#This Row],[Industry]]</f>
        <v>IT Services</v>
      </c>
      <c r="E208">
        <f>tbl_data[[#This Row],[Tx_Count_30D]]</f>
        <v>56</v>
      </c>
      <c r="F208">
        <f>tbl_data[[#This Row],[Total_Amount_30D]]</f>
        <v>86454</v>
      </c>
      <c r="G208">
        <f>tbl_data[[#This Row],[Avg_Tx_Count_6M]]</f>
        <v>9</v>
      </c>
      <c r="H208">
        <f>tbl_data[[#This Row],[Avg_Total_Amount_6M]]</f>
        <v>15371</v>
      </c>
      <c r="I208">
        <f>IFERROR(tbl_Data2[[#This Row],[Tx_Count_30D]]/tbl_Data2[[#This Row],[Avg_Tx_Count_6M]],0)</f>
        <v>6.2222222222222223</v>
      </c>
      <c r="J208">
        <f>IFERROR(tbl_Data2[[#This Row],[Total_Amount_30D]]/tbl_Data2[[#This Row],[Avg_Total_Amount_6M]],0)</f>
        <v>5.6244876715893568</v>
      </c>
      <c r="K208">
        <f>_xlfn.XLOOKUP(tbl_Data2[[#This Row],[Country]], Geo_Map[Country], Geo_Map[Score], 5)</f>
        <v>6</v>
      </c>
      <c r="L208" cm="1">
        <f t="array" ref="L208">_xlfn.IFS(tbl_Data2[[#This Row],[Tx_Count_30D]]&lt;=5,2,tbl_Data2[[#This Row],[Tx_Count_30D]]&lt;=15,5,tbl_Data2[[#This Row],[Tx_Count_30D]]&lt;=30,7,tbl_Data2[[#This Row],[Tx_Count_30D]]&gt;30,9)</f>
        <v>9</v>
      </c>
      <c r="M208" cm="1">
        <f t="array" ref="M208">_xlfn.IFS(
tbl_Data2[[#This Row],[Total_Amount_30D]]&lt;10000,2,
tbl_Data2[[#This Row],[Total_Amount_30D]]&lt;25000,5,
tbl_Data2[[#This Row],[Total_Amount_30D]]&lt;50000,7,
tbl_Data2[[#This Row],[Total_Amount_30D]]&gt;=50000,9
)</f>
        <v>9</v>
      </c>
      <c r="N208" cm="1">
        <f t="array" ref="N208">_xlfn.IFS(
tbl_Data2[[#This Row],[Amount_Deviation]]&lt;1.5,2,
tbl_Data2[[#This Row],[Amount_Deviation]]&lt;3,6,
tbl_Data2[[#This Row],[Amount_Deviation]]&lt;6,8,
tbl_Data2[[#This Row],[Amount_Deviation]]&gt;=6,10
)</f>
        <v>8</v>
      </c>
      <c r="O208">
        <f>ROUND(
    (tbl_Data2[[#This Row],[Geo_Score]]*0.2) +
    (tbl_Data2[[#This Row],[Velocity_Score]]*0.25) +
    (tbl_Data2[[#This Row],[Volume_Score]]*0.25) +
    (tbl_Data2[[#This Row],[Deviation_Score]]*0.3),
1
)</f>
        <v>8.1</v>
      </c>
      <c r="P208" t="str" cm="1">
        <f t="array" ref="P208">_xlfn.IFS(
tbl_Data2[[#This Row],[Final_Risk_Score]]&lt;5.5,"Low",
tbl_Data2[[#This Row],[Final_Risk_Score]]&lt;7.5,"Medium",
tbl_Data2[[#This Row],[Final_Risk_Score]]&gt;=7.5,"High"
)</f>
        <v>High</v>
      </c>
      <c r="Q208" t="str" cm="1">
        <f t="array" ref="Q208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209" spans="1:17" hidden="1">
      <c r="A209" t="str">
        <f>tbl_data[[#This Row],[Customer_ID]]</f>
        <v>CUST-208</v>
      </c>
      <c r="B209" t="str">
        <f>tbl_data[[#This Row],[Customer_Type]]</f>
        <v>Business</v>
      </c>
      <c r="C209" t="str">
        <f>tbl_data[[#This Row],[Country]]</f>
        <v>Hong Kong</v>
      </c>
      <c r="D209" t="str">
        <f>tbl_data[[#This Row],[Industry]]</f>
        <v>Trading</v>
      </c>
      <c r="E209">
        <f>tbl_data[[#This Row],[Tx_Count_30D]]</f>
        <v>15</v>
      </c>
      <c r="F209">
        <f>tbl_data[[#This Row],[Total_Amount_30D]]</f>
        <v>15982</v>
      </c>
      <c r="G209">
        <f>tbl_data[[#This Row],[Avg_Tx_Count_6M]]</f>
        <v>21</v>
      </c>
      <c r="H209">
        <f>tbl_data[[#This Row],[Avg_Total_Amount_6M]]</f>
        <v>58627</v>
      </c>
      <c r="I209">
        <f>IFERROR(tbl_Data2[[#This Row],[Tx_Count_30D]]/tbl_Data2[[#This Row],[Avg_Tx_Count_6M]],0)</f>
        <v>0.7142857142857143</v>
      </c>
      <c r="J209">
        <f>IFERROR(tbl_Data2[[#This Row],[Total_Amount_30D]]/tbl_Data2[[#This Row],[Avg_Total_Amount_6M]],0)</f>
        <v>0.27260477254507309</v>
      </c>
      <c r="K209">
        <f>_xlfn.XLOOKUP(tbl_Data2[[#This Row],[Country]], Geo_Map[Country], Geo_Map[Score], 5)</f>
        <v>6</v>
      </c>
      <c r="L209" cm="1">
        <f t="array" ref="L209">_xlfn.IFS(tbl_Data2[[#This Row],[Tx_Count_30D]]&lt;=5,2,tbl_Data2[[#This Row],[Tx_Count_30D]]&lt;=15,5,tbl_Data2[[#This Row],[Tx_Count_30D]]&lt;=30,7,tbl_Data2[[#This Row],[Tx_Count_30D]]&gt;30,9)</f>
        <v>5</v>
      </c>
      <c r="M209" cm="1">
        <f t="array" ref="M209">_xlfn.IFS(
tbl_Data2[[#This Row],[Total_Amount_30D]]&lt;10000,2,
tbl_Data2[[#This Row],[Total_Amount_30D]]&lt;25000,5,
tbl_Data2[[#This Row],[Total_Amount_30D]]&lt;50000,7,
tbl_Data2[[#This Row],[Total_Amount_30D]]&gt;=50000,9
)</f>
        <v>5</v>
      </c>
      <c r="N209" cm="1">
        <f t="array" ref="N209">_xlfn.IFS(
tbl_Data2[[#This Row],[Amount_Deviation]]&lt;1.5,2,
tbl_Data2[[#This Row],[Amount_Deviation]]&lt;3,6,
tbl_Data2[[#This Row],[Amount_Deviation]]&lt;6,8,
tbl_Data2[[#This Row],[Amount_Deviation]]&gt;=6,10
)</f>
        <v>2</v>
      </c>
      <c r="O209">
        <f>ROUND(
    (tbl_Data2[[#This Row],[Geo_Score]]*0.2) +
    (tbl_Data2[[#This Row],[Velocity_Score]]*0.25) +
    (tbl_Data2[[#This Row],[Volume_Score]]*0.25) +
    (tbl_Data2[[#This Row],[Deviation_Score]]*0.3),
1
)</f>
        <v>4.3</v>
      </c>
      <c r="P209" t="str" cm="1">
        <f t="array" ref="P209">_xlfn.IFS(
tbl_Data2[[#This Row],[Final_Risk_Score]]&lt;5.5,"Low",
tbl_Data2[[#This Row],[Final_Risk_Score]]&lt;7.5,"Medium",
tbl_Data2[[#This Row],[Final_Risk_Score]]&gt;=7.5,"High"
)</f>
        <v>Low</v>
      </c>
      <c r="Q209" t="str" cm="1">
        <f t="array" ref="Q209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210" spans="1:17">
      <c r="A210" t="str">
        <f>tbl_data[[#This Row],[Customer_ID]]</f>
        <v>CUST-209</v>
      </c>
      <c r="B210" t="str">
        <f>tbl_data[[#This Row],[Customer_Type]]</f>
        <v>Business</v>
      </c>
      <c r="C210" t="str">
        <f>tbl_data[[#This Row],[Country]]</f>
        <v>USA</v>
      </c>
      <c r="D210" t="str">
        <f>tbl_data[[#This Row],[Industry]]</f>
        <v>Import/Export</v>
      </c>
      <c r="E210">
        <f>tbl_data[[#This Row],[Tx_Count_30D]]</f>
        <v>25</v>
      </c>
      <c r="F210">
        <f>tbl_data[[#This Row],[Total_Amount_30D]]</f>
        <v>106270</v>
      </c>
      <c r="G210">
        <f>tbl_data[[#This Row],[Avg_Tx_Count_6M]]</f>
        <v>3</v>
      </c>
      <c r="H210">
        <f>tbl_data[[#This Row],[Avg_Total_Amount_6M]]</f>
        <v>40972</v>
      </c>
      <c r="I210">
        <f>IFERROR(tbl_Data2[[#This Row],[Tx_Count_30D]]/tbl_Data2[[#This Row],[Avg_Tx_Count_6M]],0)</f>
        <v>8.3333333333333339</v>
      </c>
      <c r="J210">
        <f>IFERROR(tbl_Data2[[#This Row],[Total_Amount_30D]]/tbl_Data2[[#This Row],[Avg_Total_Amount_6M]],0)</f>
        <v>2.5937225422239578</v>
      </c>
      <c r="K210">
        <f>_xlfn.XLOOKUP(tbl_Data2[[#This Row],[Country]], Geo_Map[Country], Geo_Map[Score], 5)</f>
        <v>1</v>
      </c>
      <c r="L210" cm="1">
        <f t="array" ref="L210">_xlfn.IFS(tbl_Data2[[#This Row],[Tx_Count_30D]]&lt;=5,2,tbl_Data2[[#This Row],[Tx_Count_30D]]&lt;=15,5,tbl_Data2[[#This Row],[Tx_Count_30D]]&lt;=30,7,tbl_Data2[[#This Row],[Tx_Count_30D]]&gt;30,9)</f>
        <v>7</v>
      </c>
      <c r="M210" cm="1">
        <f t="array" ref="M210">_xlfn.IFS(
tbl_Data2[[#This Row],[Total_Amount_30D]]&lt;10000,2,
tbl_Data2[[#This Row],[Total_Amount_30D]]&lt;25000,5,
tbl_Data2[[#This Row],[Total_Amount_30D]]&lt;50000,7,
tbl_Data2[[#This Row],[Total_Amount_30D]]&gt;=50000,9
)</f>
        <v>9</v>
      </c>
      <c r="N210" cm="1">
        <f t="array" ref="N210">_xlfn.IFS(
tbl_Data2[[#This Row],[Amount_Deviation]]&lt;1.5,2,
tbl_Data2[[#This Row],[Amount_Deviation]]&lt;3,6,
tbl_Data2[[#This Row],[Amount_Deviation]]&lt;6,8,
tbl_Data2[[#This Row],[Amount_Deviation]]&gt;=6,10
)</f>
        <v>6</v>
      </c>
      <c r="O210">
        <f>ROUND(
    (tbl_Data2[[#This Row],[Geo_Score]]*0.2) +
    (tbl_Data2[[#This Row],[Velocity_Score]]*0.25) +
    (tbl_Data2[[#This Row],[Volume_Score]]*0.25) +
    (tbl_Data2[[#This Row],[Deviation_Score]]*0.3),
1
)</f>
        <v>6</v>
      </c>
      <c r="P210" t="str" cm="1">
        <f t="array" ref="P210">_xlfn.IFS(
tbl_Data2[[#This Row],[Final_Risk_Score]]&lt;5.5,"Low",
tbl_Data2[[#This Row],[Final_Risk_Score]]&lt;7.5,"Medium",
tbl_Data2[[#This Row],[Final_Risk_Score]]&gt;=7.5,"High"
)</f>
        <v>Medium</v>
      </c>
      <c r="Q210" t="str" cm="1">
        <f t="array" ref="Q210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11" spans="1:17" hidden="1">
      <c r="A211" t="str">
        <f>tbl_data[[#This Row],[Customer_ID]]</f>
        <v>CUST-210</v>
      </c>
      <c r="B211" t="str">
        <f>tbl_data[[#This Row],[Customer_Type]]</f>
        <v>Business</v>
      </c>
      <c r="C211" t="str">
        <f>tbl_data[[#This Row],[Country]]</f>
        <v>USA</v>
      </c>
      <c r="D211" t="str">
        <f>tbl_data[[#This Row],[Industry]]</f>
        <v>IT Services</v>
      </c>
      <c r="E211">
        <f>tbl_data[[#This Row],[Tx_Count_30D]]</f>
        <v>41</v>
      </c>
      <c r="F211">
        <f>tbl_data[[#This Row],[Total_Amount_30D]]</f>
        <v>50899</v>
      </c>
      <c r="G211">
        <f>tbl_data[[#This Row],[Avg_Tx_Count_6M]]</f>
        <v>24</v>
      </c>
      <c r="H211">
        <f>tbl_data[[#This Row],[Avg_Total_Amount_6M]]</f>
        <v>43106</v>
      </c>
      <c r="I211">
        <f>IFERROR(tbl_Data2[[#This Row],[Tx_Count_30D]]/tbl_Data2[[#This Row],[Avg_Tx_Count_6M]],0)</f>
        <v>1.7083333333333333</v>
      </c>
      <c r="J211">
        <f>IFERROR(tbl_Data2[[#This Row],[Total_Amount_30D]]/tbl_Data2[[#This Row],[Avg_Total_Amount_6M]],0)</f>
        <v>1.180786897415673</v>
      </c>
      <c r="K211">
        <f>_xlfn.XLOOKUP(tbl_Data2[[#This Row],[Country]], Geo_Map[Country], Geo_Map[Score], 5)</f>
        <v>1</v>
      </c>
      <c r="L211" cm="1">
        <f t="array" ref="L211">_xlfn.IFS(tbl_Data2[[#This Row],[Tx_Count_30D]]&lt;=5,2,tbl_Data2[[#This Row],[Tx_Count_30D]]&lt;=15,5,tbl_Data2[[#This Row],[Tx_Count_30D]]&lt;=30,7,tbl_Data2[[#This Row],[Tx_Count_30D]]&gt;30,9)</f>
        <v>9</v>
      </c>
      <c r="M211" cm="1">
        <f t="array" ref="M211">_xlfn.IFS(
tbl_Data2[[#This Row],[Total_Amount_30D]]&lt;10000,2,
tbl_Data2[[#This Row],[Total_Amount_30D]]&lt;25000,5,
tbl_Data2[[#This Row],[Total_Amount_30D]]&lt;50000,7,
tbl_Data2[[#This Row],[Total_Amount_30D]]&gt;=50000,9
)</f>
        <v>9</v>
      </c>
      <c r="N211" cm="1">
        <f t="array" ref="N211">_xlfn.IFS(
tbl_Data2[[#This Row],[Amount_Deviation]]&lt;1.5,2,
tbl_Data2[[#This Row],[Amount_Deviation]]&lt;3,6,
tbl_Data2[[#This Row],[Amount_Deviation]]&lt;6,8,
tbl_Data2[[#This Row],[Amount_Deviation]]&gt;=6,10
)</f>
        <v>2</v>
      </c>
      <c r="O211">
        <f>ROUND(
    (tbl_Data2[[#This Row],[Geo_Score]]*0.2) +
    (tbl_Data2[[#This Row],[Velocity_Score]]*0.25) +
    (tbl_Data2[[#This Row],[Volume_Score]]*0.25) +
    (tbl_Data2[[#This Row],[Deviation_Score]]*0.3),
1
)</f>
        <v>5.3</v>
      </c>
      <c r="P211" t="str" cm="1">
        <f t="array" ref="P211">_xlfn.IFS(
tbl_Data2[[#This Row],[Final_Risk_Score]]&lt;5.5,"Low",
tbl_Data2[[#This Row],[Final_Risk_Score]]&lt;7.5,"Medium",
tbl_Data2[[#This Row],[Final_Risk_Score]]&gt;=7.5,"High"
)</f>
        <v>Low</v>
      </c>
      <c r="Q211" t="str" cm="1">
        <f t="array" ref="Q211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212" spans="1:17" hidden="1">
      <c r="A212" t="str">
        <f>tbl_data[[#This Row],[Customer_ID]]</f>
        <v>CUST-211</v>
      </c>
      <c r="B212" t="str">
        <f>tbl_data[[#This Row],[Customer_Type]]</f>
        <v>Business</v>
      </c>
      <c r="C212" t="str">
        <f>tbl_data[[#This Row],[Country]]</f>
        <v>UAE</v>
      </c>
      <c r="D212" t="str">
        <f>tbl_data[[#This Row],[Industry]]</f>
        <v>Trading</v>
      </c>
      <c r="E212">
        <f>tbl_data[[#This Row],[Tx_Count_30D]]</f>
        <v>37</v>
      </c>
      <c r="F212">
        <f>tbl_data[[#This Row],[Total_Amount_30D]]</f>
        <v>117349</v>
      </c>
      <c r="G212">
        <f>tbl_data[[#This Row],[Avg_Tx_Count_6M]]</f>
        <v>17</v>
      </c>
      <c r="H212">
        <f>tbl_data[[#This Row],[Avg_Total_Amount_6M]]</f>
        <v>39106</v>
      </c>
      <c r="I212">
        <f>IFERROR(tbl_Data2[[#This Row],[Tx_Count_30D]]/tbl_Data2[[#This Row],[Avg_Tx_Count_6M]],0)</f>
        <v>2.1764705882352939</v>
      </c>
      <c r="J212">
        <f>IFERROR(tbl_Data2[[#This Row],[Total_Amount_30D]]/tbl_Data2[[#This Row],[Avg_Total_Amount_6M]],0)</f>
        <v>3.0007927172300928</v>
      </c>
      <c r="K212">
        <f>_xlfn.XLOOKUP(tbl_Data2[[#This Row],[Country]], Geo_Map[Country], Geo_Map[Score], 5)</f>
        <v>6</v>
      </c>
      <c r="L212" cm="1">
        <f t="array" ref="L212">_xlfn.IFS(tbl_Data2[[#This Row],[Tx_Count_30D]]&lt;=5,2,tbl_Data2[[#This Row],[Tx_Count_30D]]&lt;=15,5,tbl_Data2[[#This Row],[Tx_Count_30D]]&lt;=30,7,tbl_Data2[[#This Row],[Tx_Count_30D]]&gt;30,9)</f>
        <v>9</v>
      </c>
      <c r="M212" cm="1">
        <f t="array" ref="M212">_xlfn.IFS(
tbl_Data2[[#This Row],[Total_Amount_30D]]&lt;10000,2,
tbl_Data2[[#This Row],[Total_Amount_30D]]&lt;25000,5,
tbl_Data2[[#This Row],[Total_Amount_30D]]&lt;50000,7,
tbl_Data2[[#This Row],[Total_Amount_30D]]&gt;=50000,9
)</f>
        <v>9</v>
      </c>
      <c r="N212" cm="1">
        <f t="array" ref="N212">_xlfn.IFS(
tbl_Data2[[#This Row],[Amount_Deviation]]&lt;1.5,2,
tbl_Data2[[#This Row],[Amount_Deviation]]&lt;3,6,
tbl_Data2[[#This Row],[Amount_Deviation]]&lt;6,8,
tbl_Data2[[#This Row],[Amount_Deviation]]&gt;=6,10
)</f>
        <v>8</v>
      </c>
      <c r="O212">
        <f>ROUND(
    (tbl_Data2[[#This Row],[Geo_Score]]*0.2) +
    (tbl_Data2[[#This Row],[Velocity_Score]]*0.25) +
    (tbl_Data2[[#This Row],[Volume_Score]]*0.25) +
    (tbl_Data2[[#This Row],[Deviation_Score]]*0.3),
1
)</f>
        <v>8.1</v>
      </c>
      <c r="P212" t="str" cm="1">
        <f t="array" ref="P212">_xlfn.IFS(
tbl_Data2[[#This Row],[Final_Risk_Score]]&lt;5.5,"Low",
tbl_Data2[[#This Row],[Final_Risk_Score]]&lt;7.5,"Medium",
tbl_Data2[[#This Row],[Final_Risk_Score]]&gt;=7.5,"High"
)</f>
        <v>High</v>
      </c>
      <c r="Q212" t="str" cm="1">
        <f t="array" ref="Q212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213" spans="1:17">
      <c r="A213" t="str">
        <f>tbl_data[[#This Row],[Customer_ID]]</f>
        <v>CUST-212</v>
      </c>
      <c r="B213" t="str">
        <f>tbl_data[[#This Row],[Customer_Type]]</f>
        <v>Business</v>
      </c>
      <c r="C213" t="str">
        <f>tbl_data[[#This Row],[Country]]</f>
        <v>UAE</v>
      </c>
      <c r="D213" t="str">
        <f>tbl_data[[#This Row],[Industry]]</f>
        <v>Consulting</v>
      </c>
      <c r="E213">
        <f>tbl_data[[#This Row],[Tx_Count_30D]]</f>
        <v>9</v>
      </c>
      <c r="F213">
        <f>tbl_data[[#This Row],[Total_Amount_30D]]</f>
        <v>112341</v>
      </c>
      <c r="G213">
        <f>tbl_data[[#This Row],[Avg_Tx_Count_6M]]</f>
        <v>28</v>
      </c>
      <c r="H213">
        <f>tbl_data[[#This Row],[Avg_Total_Amount_6M]]</f>
        <v>26053</v>
      </c>
      <c r="I213">
        <f>IFERROR(tbl_Data2[[#This Row],[Tx_Count_30D]]/tbl_Data2[[#This Row],[Avg_Tx_Count_6M]],0)</f>
        <v>0.32142857142857145</v>
      </c>
      <c r="J213">
        <f>IFERROR(tbl_Data2[[#This Row],[Total_Amount_30D]]/tbl_Data2[[#This Row],[Avg_Total_Amount_6M]],0)</f>
        <v>4.3120178098491539</v>
      </c>
      <c r="K213">
        <f>_xlfn.XLOOKUP(tbl_Data2[[#This Row],[Country]], Geo_Map[Country], Geo_Map[Score], 5)</f>
        <v>6</v>
      </c>
      <c r="L213" cm="1">
        <f t="array" ref="L213">_xlfn.IFS(tbl_Data2[[#This Row],[Tx_Count_30D]]&lt;=5,2,tbl_Data2[[#This Row],[Tx_Count_30D]]&lt;=15,5,tbl_Data2[[#This Row],[Tx_Count_30D]]&lt;=30,7,tbl_Data2[[#This Row],[Tx_Count_30D]]&gt;30,9)</f>
        <v>5</v>
      </c>
      <c r="M213" cm="1">
        <f t="array" ref="M213">_xlfn.IFS(
tbl_Data2[[#This Row],[Total_Amount_30D]]&lt;10000,2,
tbl_Data2[[#This Row],[Total_Amount_30D]]&lt;25000,5,
tbl_Data2[[#This Row],[Total_Amount_30D]]&lt;50000,7,
tbl_Data2[[#This Row],[Total_Amount_30D]]&gt;=50000,9
)</f>
        <v>9</v>
      </c>
      <c r="N213" cm="1">
        <f t="array" ref="N213">_xlfn.IFS(
tbl_Data2[[#This Row],[Amount_Deviation]]&lt;1.5,2,
tbl_Data2[[#This Row],[Amount_Deviation]]&lt;3,6,
tbl_Data2[[#This Row],[Amount_Deviation]]&lt;6,8,
tbl_Data2[[#This Row],[Amount_Deviation]]&gt;=6,10
)</f>
        <v>8</v>
      </c>
      <c r="O213">
        <f>ROUND(
    (tbl_Data2[[#This Row],[Geo_Score]]*0.2) +
    (tbl_Data2[[#This Row],[Velocity_Score]]*0.25) +
    (tbl_Data2[[#This Row],[Volume_Score]]*0.25) +
    (tbl_Data2[[#This Row],[Deviation_Score]]*0.3),
1
)</f>
        <v>7.1</v>
      </c>
      <c r="P213" t="str" cm="1">
        <f t="array" ref="P213">_xlfn.IFS(
tbl_Data2[[#This Row],[Final_Risk_Score]]&lt;5.5,"Low",
tbl_Data2[[#This Row],[Final_Risk_Score]]&lt;7.5,"Medium",
tbl_Data2[[#This Row],[Final_Risk_Score]]&gt;=7.5,"High"
)</f>
        <v>Medium</v>
      </c>
      <c r="Q213" t="str" cm="1">
        <f t="array" ref="Q213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14" spans="1:17">
      <c r="A214" t="str">
        <f>tbl_data[[#This Row],[Customer_ID]]</f>
        <v>CUST-213</v>
      </c>
      <c r="B214" t="str">
        <f>tbl_data[[#This Row],[Customer_Type]]</f>
        <v>Business</v>
      </c>
      <c r="C214" t="str">
        <f>tbl_data[[#This Row],[Country]]</f>
        <v>Seychelles</v>
      </c>
      <c r="D214" t="str">
        <f>tbl_data[[#This Row],[Industry]]</f>
        <v>Logistics</v>
      </c>
      <c r="E214">
        <f>tbl_data[[#This Row],[Tx_Count_30D]]</f>
        <v>9</v>
      </c>
      <c r="F214">
        <f>tbl_data[[#This Row],[Total_Amount_30D]]</f>
        <v>57204</v>
      </c>
      <c r="G214">
        <f>tbl_data[[#This Row],[Avg_Tx_Count_6M]]</f>
        <v>3</v>
      </c>
      <c r="H214">
        <f>tbl_data[[#This Row],[Avg_Total_Amount_6M]]</f>
        <v>23253</v>
      </c>
      <c r="I214">
        <f>IFERROR(tbl_Data2[[#This Row],[Tx_Count_30D]]/tbl_Data2[[#This Row],[Avg_Tx_Count_6M]],0)</f>
        <v>3</v>
      </c>
      <c r="J214">
        <f>IFERROR(tbl_Data2[[#This Row],[Total_Amount_30D]]/tbl_Data2[[#This Row],[Avg_Total_Amount_6M]],0)</f>
        <v>2.4600696684298802</v>
      </c>
      <c r="K214">
        <f>_xlfn.XLOOKUP(tbl_Data2[[#This Row],[Country]], Geo_Map[Country], Geo_Map[Score], 5)</f>
        <v>9</v>
      </c>
      <c r="L214" cm="1">
        <f t="array" ref="L214">_xlfn.IFS(tbl_Data2[[#This Row],[Tx_Count_30D]]&lt;=5,2,tbl_Data2[[#This Row],[Tx_Count_30D]]&lt;=15,5,tbl_Data2[[#This Row],[Tx_Count_30D]]&lt;=30,7,tbl_Data2[[#This Row],[Tx_Count_30D]]&gt;30,9)</f>
        <v>5</v>
      </c>
      <c r="M214" cm="1">
        <f t="array" ref="M214">_xlfn.IFS(
tbl_Data2[[#This Row],[Total_Amount_30D]]&lt;10000,2,
tbl_Data2[[#This Row],[Total_Amount_30D]]&lt;25000,5,
tbl_Data2[[#This Row],[Total_Amount_30D]]&lt;50000,7,
tbl_Data2[[#This Row],[Total_Amount_30D]]&gt;=50000,9
)</f>
        <v>9</v>
      </c>
      <c r="N214" cm="1">
        <f t="array" ref="N214">_xlfn.IFS(
tbl_Data2[[#This Row],[Amount_Deviation]]&lt;1.5,2,
tbl_Data2[[#This Row],[Amount_Deviation]]&lt;3,6,
tbl_Data2[[#This Row],[Amount_Deviation]]&lt;6,8,
tbl_Data2[[#This Row],[Amount_Deviation]]&gt;=6,10
)</f>
        <v>6</v>
      </c>
      <c r="O214">
        <f>ROUND(
    (tbl_Data2[[#This Row],[Geo_Score]]*0.2) +
    (tbl_Data2[[#This Row],[Velocity_Score]]*0.25) +
    (tbl_Data2[[#This Row],[Volume_Score]]*0.25) +
    (tbl_Data2[[#This Row],[Deviation_Score]]*0.3),
1
)</f>
        <v>7.1</v>
      </c>
      <c r="P214" t="str" cm="1">
        <f t="array" ref="P214">_xlfn.IFS(
tbl_Data2[[#This Row],[Final_Risk_Score]]&lt;5.5,"Low",
tbl_Data2[[#This Row],[Final_Risk_Score]]&lt;7.5,"Medium",
tbl_Data2[[#This Row],[Final_Risk_Score]]&gt;=7.5,"High"
)</f>
        <v>Medium</v>
      </c>
      <c r="Q214" t="str" cm="1">
        <f t="array" ref="Q214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15" spans="1:17" hidden="1">
      <c r="A215" t="str">
        <f>tbl_data[[#This Row],[Customer_ID]]</f>
        <v>CUST-214</v>
      </c>
      <c r="B215" t="str">
        <f>tbl_data[[#This Row],[Customer_Type]]</f>
        <v>Business</v>
      </c>
      <c r="C215" t="str">
        <f>tbl_data[[#This Row],[Country]]</f>
        <v>BVI</v>
      </c>
      <c r="D215" t="str">
        <f>tbl_data[[#This Row],[Industry]]</f>
        <v>Import/Export</v>
      </c>
      <c r="E215">
        <f>tbl_data[[#This Row],[Tx_Count_30D]]</f>
        <v>25</v>
      </c>
      <c r="F215">
        <f>tbl_data[[#This Row],[Total_Amount_30D]]</f>
        <v>63140</v>
      </c>
      <c r="G215">
        <f>tbl_data[[#This Row],[Avg_Tx_Count_6M]]</f>
        <v>39</v>
      </c>
      <c r="H215">
        <f>tbl_data[[#This Row],[Avg_Total_Amount_6M]]</f>
        <v>40190</v>
      </c>
      <c r="I215">
        <f>IFERROR(tbl_Data2[[#This Row],[Tx_Count_30D]]/tbl_Data2[[#This Row],[Avg_Tx_Count_6M]],0)</f>
        <v>0.64102564102564108</v>
      </c>
      <c r="J215">
        <f>IFERROR(tbl_Data2[[#This Row],[Total_Amount_30D]]/tbl_Data2[[#This Row],[Avg_Total_Amount_6M]],0)</f>
        <v>1.5710375715352078</v>
      </c>
      <c r="K215">
        <f>_xlfn.XLOOKUP(tbl_Data2[[#This Row],[Country]], Geo_Map[Country], Geo_Map[Score], 5)</f>
        <v>9</v>
      </c>
      <c r="L215" cm="1">
        <f t="array" ref="L215">_xlfn.IFS(tbl_Data2[[#This Row],[Tx_Count_30D]]&lt;=5,2,tbl_Data2[[#This Row],[Tx_Count_30D]]&lt;=15,5,tbl_Data2[[#This Row],[Tx_Count_30D]]&lt;=30,7,tbl_Data2[[#This Row],[Tx_Count_30D]]&gt;30,9)</f>
        <v>7</v>
      </c>
      <c r="M215" cm="1">
        <f t="array" ref="M215">_xlfn.IFS(
tbl_Data2[[#This Row],[Total_Amount_30D]]&lt;10000,2,
tbl_Data2[[#This Row],[Total_Amount_30D]]&lt;25000,5,
tbl_Data2[[#This Row],[Total_Amount_30D]]&lt;50000,7,
tbl_Data2[[#This Row],[Total_Amount_30D]]&gt;=50000,9
)</f>
        <v>9</v>
      </c>
      <c r="N215" cm="1">
        <f t="array" ref="N215">_xlfn.IFS(
tbl_Data2[[#This Row],[Amount_Deviation]]&lt;1.5,2,
tbl_Data2[[#This Row],[Amount_Deviation]]&lt;3,6,
tbl_Data2[[#This Row],[Amount_Deviation]]&lt;6,8,
tbl_Data2[[#This Row],[Amount_Deviation]]&gt;=6,10
)</f>
        <v>6</v>
      </c>
      <c r="O215">
        <f>ROUND(
    (tbl_Data2[[#This Row],[Geo_Score]]*0.2) +
    (tbl_Data2[[#This Row],[Velocity_Score]]*0.25) +
    (tbl_Data2[[#This Row],[Volume_Score]]*0.25) +
    (tbl_Data2[[#This Row],[Deviation_Score]]*0.3),
1
)</f>
        <v>7.6</v>
      </c>
      <c r="P215" t="str" cm="1">
        <f t="array" ref="P215">_xlfn.IFS(
tbl_Data2[[#This Row],[Final_Risk_Score]]&lt;5.5,"Low",
tbl_Data2[[#This Row],[Final_Risk_Score]]&lt;7.5,"Medium",
tbl_Data2[[#This Row],[Final_Risk_Score]]&gt;=7.5,"High"
)</f>
        <v>High</v>
      </c>
      <c r="Q215" t="str" cm="1">
        <f t="array" ref="Q215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216" spans="1:17" hidden="1">
      <c r="A216" t="str">
        <f>tbl_data[[#This Row],[Customer_ID]]</f>
        <v>CUST-215</v>
      </c>
      <c r="B216" t="str">
        <f>tbl_data[[#This Row],[Customer_Type]]</f>
        <v>Business</v>
      </c>
      <c r="C216" t="str">
        <f>tbl_data[[#This Row],[Country]]</f>
        <v>Cyprus</v>
      </c>
      <c r="D216" t="str">
        <f>tbl_data[[#This Row],[Industry]]</f>
        <v>Logistics</v>
      </c>
      <c r="E216">
        <f>tbl_data[[#This Row],[Tx_Count_30D]]</f>
        <v>14</v>
      </c>
      <c r="F216">
        <f>tbl_data[[#This Row],[Total_Amount_30D]]</f>
        <v>24623</v>
      </c>
      <c r="G216">
        <f>tbl_data[[#This Row],[Avg_Tx_Count_6M]]</f>
        <v>37</v>
      </c>
      <c r="H216">
        <f>tbl_data[[#This Row],[Avg_Total_Amount_6M]]</f>
        <v>75626</v>
      </c>
      <c r="I216">
        <f>IFERROR(tbl_Data2[[#This Row],[Tx_Count_30D]]/tbl_Data2[[#This Row],[Avg_Tx_Count_6M]],0)</f>
        <v>0.3783783783783784</v>
      </c>
      <c r="J216">
        <f>IFERROR(tbl_Data2[[#This Row],[Total_Amount_30D]]/tbl_Data2[[#This Row],[Avg_Total_Amount_6M]],0)</f>
        <v>0.32558908311956203</v>
      </c>
      <c r="K216">
        <f>_xlfn.XLOOKUP(tbl_Data2[[#This Row],[Country]], Geo_Map[Country], Geo_Map[Score], 5)</f>
        <v>7</v>
      </c>
      <c r="L216" cm="1">
        <f t="array" ref="L216">_xlfn.IFS(tbl_Data2[[#This Row],[Tx_Count_30D]]&lt;=5,2,tbl_Data2[[#This Row],[Tx_Count_30D]]&lt;=15,5,tbl_Data2[[#This Row],[Tx_Count_30D]]&lt;=30,7,tbl_Data2[[#This Row],[Tx_Count_30D]]&gt;30,9)</f>
        <v>5</v>
      </c>
      <c r="M216" cm="1">
        <f t="array" ref="M216">_xlfn.IFS(
tbl_Data2[[#This Row],[Total_Amount_30D]]&lt;10000,2,
tbl_Data2[[#This Row],[Total_Amount_30D]]&lt;25000,5,
tbl_Data2[[#This Row],[Total_Amount_30D]]&lt;50000,7,
tbl_Data2[[#This Row],[Total_Amount_30D]]&gt;=50000,9
)</f>
        <v>5</v>
      </c>
      <c r="N216" cm="1">
        <f t="array" ref="N216">_xlfn.IFS(
tbl_Data2[[#This Row],[Amount_Deviation]]&lt;1.5,2,
tbl_Data2[[#This Row],[Amount_Deviation]]&lt;3,6,
tbl_Data2[[#This Row],[Amount_Deviation]]&lt;6,8,
tbl_Data2[[#This Row],[Amount_Deviation]]&gt;=6,10
)</f>
        <v>2</v>
      </c>
      <c r="O216">
        <f>ROUND(
    (tbl_Data2[[#This Row],[Geo_Score]]*0.2) +
    (tbl_Data2[[#This Row],[Velocity_Score]]*0.25) +
    (tbl_Data2[[#This Row],[Volume_Score]]*0.25) +
    (tbl_Data2[[#This Row],[Deviation_Score]]*0.3),
1
)</f>
        <v>4.5</v>
      </c>
      <c r="P216" t="str" cm="1">
        <f t="array" ref="P216">_xlfn.IFS(
tbl_Data2[[#This Row],[Final_Risk_Score]]&lt;5.5,"Low",
tbl_Data2[[#This Row],[Final_Risk_Score]]&lt;7.5,"Medium",
tbl_Data2[[#This Row],[Final_Risk_Score]]&gt;=7.5,"High"
)</f>
        <v>Low</v>
      </c>
      <c r="Q216" t="str" cm="1">
        <f t="array" ref="Q216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217" spans="1:17">
      <c r="A217" t="str">
        <f>tbl_data[[#This Row],[Customer_ID]]</f>
        <v>CUST-216</v>
      </c>
      <c r="B217" t="str">
        <f>tbl_data[[#This Row],[Customer_Type]]</f>
        <v>Individual</v>
      </c>
      <c r="C217" t="str">
        <f>tbl_data[[#This Row],[Country]]</f>
        <v>Hong Kong</v>
      </c>
      <c r="D217" t="str">
        <f>tbl_data[[#This Row],[Industry]]</f>
        <v>IT Services</v>
      </c>
      <c r="E217">
        <f>tbl_data[[#This Row],[Tx_Count_30D]]</f>
        <v>45</v>
      </c>
      <c r="F217">
        <f>tbl_data[[#This Row],[Total_Amount_30D]]</f>
        <v>65851</v>
      </c>
      <c r="G217">
        <f>tbl_data[[#This Row],[Avg_Tx_Count_6M]]</f>
        <v>34</v>
      </c>
      <c r="H217">
        <f>tbl_data[[#This Row],[Avg_Total_Amount_6M]]</f>
        <v>50398</v>
      </c>
      <c r="I217">
        <f>IFERROR(tbl_Data2[[#This Row],[Tx_Count_30D]]/tbl_Data2[[#This Row],[Avg_Tx_Count_6M]],0)</f>
        <v>1.3235294117647058</v>
      </c>
      <c r="J217">
        <f>IFERROR(tbl_Data2[[#This Row],[Total_Amount_30D]]/tbl_Data2[[#This Row],[Avg_Total_Amount_6M]],0)</f>
        <v>1.3066193102900909</v>
      </c>
      <c r="K217">
        <f>_xlfn.XLOOKUP(tbl_Data2[[#This Row],[Country]], Geo_Map[Country], Geo_Map[Score], 5)</f>
        <v>6</v>
      </c>
      <c r="L217" cm="1">
        <f t="array" ref="L217">_xlfn.IFS(tbl_Data2[[#This Row],[Tx_Count_30D]]&lt;=5,2,tbl_Data2[[#This Row],[Tx_Count_30D]]&lt;=15,5,tbl_Data2[[#This Row],[Tx_Count_30D]]&lt;=30,7,tbl_Data2[[#This Row],[Tx_Count_30D]]&gt;30,9)</f>
        <v>9</v>
      </c>
      <c r="M217" cm="1">
        <f t="array" ref="M217">_xlfn.IFS(
tbl_Data2[[#This Row],[Total_Amount_30D]]&lt;10000,2,
tbl_Data2[[#This Row],[Total_Amount_30D]]&lt;25000,5,
tbl_Data2[[#This Row],[Total_Amount_30D]]&lt;50000,7,
tbl_Data2[[#This Row],[Total_Amount_30D]]&gt;=50000,9
)</f>
        <v>9</v>
      </c>
      <c r="N217" cm="1">
        <f t="array" ref="N217">_xlfn.IFS(
tbl_Data2[[#This Row],[Amount_Deviation]]&lt;1.5,2,
tbl_Data2[[#This Row],[Amount_Deviation]]&lt;3,6,
tbl_Data2[[#This Row],[Amount_Deviation]]&lt;6,8,
tbl_Data2[[#This Row],[Amount_Deviation]]&gt;=6,10
)</f>
        <v>2</v>
      </c>
      <c r="O217">
        <f>ROUND(
    (tbl_Data2[[#This Row],[Geo_Score]]*0.2) +
    (tbl_Data2[[#This Row],[Velocity_Score]]*0.25) +
    (tbl_Data2[[#This Row],[Volume_Score]]*0.25) +
    (tbl_Data2[[#This Row],[Deviation_Score]]*0.3),
1
)</f>
        <v>6.3</v>
      </c>
      <c r="P217" t="str" cm="1">
        <f t="array" ref="P217">_xlfn.IFS(
tbl_Data2[[#This Row],[Final_Risk_Score]]&lt;5.5,"Low",
tbl_Data2[[#This Row],[Final_Risk_Score]]&lt;7.5,"Medium",
tbl_Data2[[#This Row],[Final_Risk_Score]]&gt;=7.5,"High"
)</f>
        <v>Medium</v>
      </c>
      <c r="Q217" t="str" cm="1">
        <f t="array" ref="Q217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18" spans="1:17">
      <c r="A218" t="str">
        <f>tbl_data[[#This Row],[Customer_ID]]</f>
        <v>CUST-217</v>
      </c>
      <c r="B218" t="str">
        <f>tbl_data[[#This Row],[Customer_Type]]</f>
        <v>Business</v>
      </c>
      <c r="C218" t="str">
        <f>tbl_data[[#This Row],[Country]]</f>
        <v>Hong Kong</v>
      </c>
      <c r="D218" t="str">
        <f>tbl_data[[#This Row],[Industry]]</f>
        <v>Import/Export</v>
      </c>
      <c r="E218">
        <f>tbl_data[[#This Row],[Tx_Count_30D]]</f>
        <v>4</v>
      </c>
      <c r="F218">
        <f>tbl_data[[#This Row],[Total_Amount_30D]]</f>
        <v>109373</v>
      </c>
      <c r="G218">
        <f>tbl_data[[#This Row],[Avg_Tx_Count_6M]]</f>
        <v>37</v>
      </c>
      <c r="H218">
        <f>tbl_data[[#This Row],[Avg_Total_Amount_6M]]</f>
        <v>25665</v>
      </c>
      <c r="I218">
        <f>IFERROR(tbl_Data2[[#This Row],[Tx_Count_30D]]/tbl_Data2[[#This Row],[Avg_Tx_Count_6M]],0)</f>
        <v>0.10810810810810811</v>
      </c>
      <c r="J218">
        <f>IFERROR(tbl_Data2[[#This Row],[Total_Amount_30D]]/tbl_Data2[[#This Row],[Avg_Total_Amount_6M]],0)</f>
        <v>4.2615624391194231</v>
      </c>
      <c r="K218">
        <f>_xlfn.XLOOKUP(tbl_Data2[[#This Row],[Country]], Geo_Map[Country], Geo_Map[Score], 5)</f>
        <v>6</v>
      </c>
      <c r="L218" cm="1">
        <f t="array" ref="L218">_xlfn.IFS(tbl_Data2[[#This Row],[Tx_Count_30D]]&lt;=5,2,tbl_Data2[[#This Row],[Tx_Count_30D]]&lt;=15,5,tbl_Data2[[#This Row],[Tx_Count_30D]]&lt;=30,7,tbl_Data2[[#This Row],[Tx_Count_30D]]&gt;30,9)</f>
        <v>2</v>
      </c>
      <c r="M218" cm="1">
        <f t="array" ref="M218">_xlfn.IFS(
tbl_Data2[[#This Row],[Total_Amount_30D]]&lt;10000,2,
tbl_Data2[[#This Row],[Total_Amount_30D]]&lt;25000,5,
tbl_Data2[[#This Row],[Total_Amount_30D]]&lt;50000,7,
tbl_Data2[[#This Row],[Total_Amount_30D]]&gt;=50000,9
)</f>
        <v>9</v>
      </c>
      <c r="N218" cm="1">
        <f t="array" ref="N218">_xlfn.IFS(
tbl_Data2[[#This Row],[Amount_Deviation]]&lt;1.5,2,
tbl_Data2[[#This Row],[Amount_Deviation]]&lt;3,6,
tbl_Data2[[#This Row],[Amount_Deviation]]&lt;6,8,
tbl_Data2[[#This Row],[Amount_Deviation]]&gt;=6,10
)</f>
        <v>8</v>
      </c>
      <c r="O218">
        <f>ROUND(
    (tbl_Data2[[#This Row],[Geo_Score]]*0.2) +
    (tbl_Data2[[#This Row],[Velocity_Score]]*0.25) +
    (tbl_Data2[[#This Row],[Volume_Score]]*0.25) +
    (tbl_Data2[[#This Row],[Deviation_Score]]*0.3),
1
)</f>
        <v>6.4</v>
      </c>
      <c r="P218" t="str" cm="1">
        <f t="array" ref="P218">_xlfn.IFS(
tbl_Data2[[#This Row],[Final_Risk_Score]]&lt;5.5,"Low",
tbl_Data2[[#This Row],[Final_Risk_Score]]&lt;7.5,"Medium",
tbl_Data2[[#This Row],[Final_Risk_Score]]&gt;=7.5,"High"
)</f>
        <v>Medium</v>
      </c>
      <c r="Q218" t="str" cm="1">
        <f t="array" ref="Q218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19" spans="1:17">
      <c r="A219" t="str">
        <f>tbl_data[[#This Row],[Customer_ID]]</f>
        <v>CUST-218</v>
      </c>
      <c r="B219" t="str">
        <f>tbl_data[[#This Row],[Customer_Type]]</f>
        <v>Individual</v>
      </c>
      <c r="C219" t="str">
        <f>tbl_data[[#This Row],[Country]]</f>
        <v>Panama</v>
      </c>
      <c r="D219" t="str">
        <f>tbl_data[[#This Row],[Industry]]</f>
        <v>Manufacturing</v>
      </c>
      <c r="E219">
        <f>tbl_data[[#This Row],[Tx_Count_30D]]</f>
        <v>19</v>
      </c>
      <c r="F219">
        <f>tbl_data[[#This Row],[Total_Amount_30D]]</f>
        <v>90352</v>
      </c>
      <c r="G219">
        <f>tbl_data[[#This Row],[Avg_Tx_Count_6M]]</f>
        <v>22</v>
      </c>
      <c r="H219">
        <f>tbl_data[[#This Row],[Avg_Total_Amount_6M]]</f>
        <v>59777</v>
      </c>
      <c r="I219">
        <f>IFERROR(tbl_Data2[[#This Row],[Tx_Count_30D]]/tbl_Data2[[#This Row],[Avg_Tx_Count_6M]],0)</f>
        <v>0.86363636363636365</v>
      </c>
      <c r="J219">
        <f>IFERROR(tbl_Data2[[#This Row],[Total_Amount_30D]]/tbl_Data2[[#This Row],[Avg_Total_Amount_6M]],0)</f>
        <v>1.5114843501681248</v>
      </c>
      <c r="K219">
        <f>_xlfn.XLOOKUP(tbl_Data2[[#This Row],[Country]], Geo_Map[Country], Geo_Map[Score], 5)</f>
        <v>8</v>
      </c>
      <c r="L219" cm="1">
        <f t="array" ref="L219">_xlfn.IFS(tbl_Data2[[#This Row],[Tx_Count_30D]]&lt;=5,2,tbl_Data2[[#This Row],[Tx_Count_30D]]&lt;=15,5,tbl_Data2[[#This Row],[Tx_Count_30D]]&lt;=30,7,tbl_Data2[[#This Row],[Tx_Count_30D]]&gt;30,9)</f>
        <v>7</v>
      </c>
      <c r="M219" cm="1">
        <f t="array" ref="M219">_xlfn.IFS(
tbl_Data2[[#This Row],[Total_Amount_30D]]&lt;10000,2,
tbl_Data2[[#This Row],[Total_Amount_30D]]&lt;25000,5,
tbl_Data2[[#This Row],[Total_Amount_30D]]&lt;50000,7,
tbl_Data2[[#This Row],[Total_Amount_30D]]&gt;=50000,9
)</f>
        <v>9</v>
      </c>
      <c r="N219" cm="1">
        <f t="array" ref="N219">_xlfn.IFS(
tbl_Data2[[#This Row],[Amount_Deviation]]&lt;1.5,2,
tbl_Data2[[#This Row],[Amount_Deviation]]&lt;3,6,
tbl_Data2[[#This Row],[Amount_Deviation]]&lt;6,8,
tbl_Data2[[#This Row],[Amount_Deviation]]&gt;=6,10
)</f>
        <v>6</v>
      </c>
      <c r="O219">
        <f>ROUND(
    (tbl_Data2[[#This Row],[Geo_Score]]*0.2) +
    (tbl_Data2[[#This Row],[Velocity_Score]]*0.25) +
    (tbl_Data2[[#This Row],[Volume_Score]]*0.25) +
    (tbl_Data2[[#This Row],[Deviation_Score]]*0.3),
1
)</f>
        <v>7.4</v>
      </c>
      <c r="P219" t="str" cm="1">
        <f t="array" ref="P219">_xlfn.IFS(
tbl_Data2[[#This Row],[Final_Risk_Score]]&lt;5.5,"Low",
tbl_Data2[[#This Row],[Final_Risk_Score]]&lt;7.5,"Medium",
tbl_Data2[[#This Row],[Final_Risk_Score]]&gt;=7.5,"High"
)</f>
        <v>Medium</v>
      </c>
      <c r="Q219" t="str" cm="1">
        <f t="array" ref="Q219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20" spans="1:17" hidden="1">
      <c r="A220" t="str">
        <f>tbl_data[[#This Row],[Customer_ID]]</f>
        <v>CUST-219</v>
      </c>
      <c r="B220" t="str">
        <f>tbl_data[[#This Row],[Customer_Type]]</f>
        <v>Business</v>
      </c>
      <c r="C220" t="str">
        <f>tbl_data[[#This Row],[Country]]</f>
        <v>Seychelles</v>
      </c>
      <c r="D220" t="str">
        <f>tbl_data[[#This Row],[Industry]]</f>
        <v>Trading</v>
      </c>
      <c r="E220">
        <f>tbl_data[[#This Row],[Tx_Count_30D]]</f>
        <v>53</v>
      </c>
      <c r="F220">
        <f>tbl_data[[#This Row],[Total_Amount_30D]]</f>
        <v>93646</v>
      </c>
      <c r="G220">
        <f>tbl_data[[#This Row],[Avg_Tx_Count_6M]]</f>
        <v>1</v>
      </c>
      <c r="H220">
        <f>tbl_data[[#This Row],[Avg_Total_Amount_6M]]</f>
        <v>61530</v>
      </c>
      <c r="I220">
        <f>IFERROR(tbl_Data2[[#This Row],[Tx_Count_30D]]/tbl_Data2[[#This Row],[Avg_Tx_Count_6M]],0)</f>
        <v>53</v>
      </c>
      <c r="J220">
        <f>IFERROR(tbl_Data2[[#This Row],[Total_Amount_30D]]/tbl_Data2[[#This Row],[Avg_Total_Amount_6M]],0)</f>
        <v>1.5219567690557452</v>
      </c>
      <c r="K220">
        <f>_xlfn.XLOOKUP(tbl_Data2[[#This Row],[Country]], Geo_Map[Country], Geo_Map[Score], 5)</f>
        <v>9</v>
      </c>
      <c r="L220" cm="1">
        <f t="array" ref="L220">_xlfn.IFS(tbl_Data2[[#This Row],[Tx_Count_30D]]&lt;=5,2,tbl_Data2[[#This Row],[Tx_Count_30D]]&lt;=15,5,tbl_Data2[[#This Row],[Tx_Count_30D]]&lt;=30,7,tbl_Data2[[#This Row],[Tx_Count_30D]]&gt;30,9)</f>
        <v>9</v>
      </c>
      <c r="M220" cm="1">
        <f t="array" ref="M220">_xlfn.IFS(
tbl_Data2[[#This Row],[Total_Amount_30D]]&lt;10000,2,
tbl_Data2[[#This Row],[Total_Amount_30D]]&lt;25000,5,
tbl_Data2[[#This Row],[Total_Amount_30D]]&lt;50000,7,
tbl_Data2[[#This Row],[Total_Amount_30D]]&gt;=50000,9
)</f>
        <v>9</v>
      </c>
      <c r="N220" cm="1">
        <f t="array" ref="N220">_xlfn.IFS(
tbl_Data2[[#This Row],[Amount_Deviation]]&lt;1.5,2,
tbl_Data2[[#This Row],[Amount_Deviation]]&lt;3,6,
tbl_Data2[[#This Row],[Amount_Deviation]]&lt;6,8,
tbl_Data2[[#This Row],[Amount_Deviation]]&gt;=6,10
)</f>
        <v>6</v>
      </c>
      <c r="O220">
        <f>ROUND(
    (tbl_Data2[[#This Row],[Geo_Score]]*0.2) +
    (tbl_Data2[[#This Row],[Velocity_Score]]*0.25) +
    (tbl_Data2[[#This Row],[Volume_Score]]*0.25) +
    (tbl_Data2[[#This Row],[Deviation_Score]]*0.3),
1
)</f>
        <v>8.1</v>
      </c>
      <c r="P220" t="str" cm="1">
        <f t="array" ref="P220">_xlfn.IFS(
tbl_Data2[[#This Row],[Final_Risk_Score]]&lt;5.5,"Low",
tbl_Data2[[#This Row],[Final_Risk_Score]]&lt;7.5,"Medium",
tbl_Data2[[#This Row],[Final_Risk_Score]]&gt;=7.5,"High"
)</f>
        <v>High</v>
      </c>
      <c r="Q220" t="str" cm="1">
        <f t="array" ref="Q220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221" spans="1:17">
      <c r="A221" t="str">
        <f>tbl_data[[#This Row],[Customer_ID]]</f>
        <v>CUST-220</v>
      </c>
      <c r="B221" t="str">
        <f>tbl_data[[#This Row],[Customer_Type]]</f>
        <v>Individual</v>
      </c>
      <c r="C221" t="str">
        <f>tbl_data[[#This Row],[Country]]</f>
        <v>Cyprus</v>
      </c>
      <c r="D221" t="str">
        <f>tbl_data[[#This Row],[Industry]]</f>
        <v>Trading</v>
      </c>
      <c r="E221">
        <f>tbl_data[[#This Row],[Tx_Count_30D]]</f>
        <v>9</v>
      </c>
      <c r="F221">
        <f>tbl_data[[#This Row],[Total_Amount_30D]]</f>
        <v>43163</v>
      </c>
      <c r="G221">
        <f>tbl_data[[#This Row],[Avg_Tx_Count_6M]]</f>
        <v>3</v>
      </c>
      <c r="H221">
        <f>tbl_data[[#This Row],[Avg_Total_Amount_6M]]</f>
        <v>5480</v>
      </c>
      <c r="I221">
        <f>IFERROR(tbl_Data2[[#This Row],[Tx_Count_30D]]/tbl_Data2[[#This Row],[Avg_Tx_Count_6M]],0)</f>
        <v>3</v>
      </c>
      <c r="J221">
        <f>IFERROR(tbl_Data2[[#This Row],[Total_Amount_30D]]/tbl_Data2[[#This Row],[Avg_Total_Amount_6M]],0)</f>
        <v>7.8764598540145982</v>
      </c>
      <c r="K221">
        <f>_xlfn.XLOOKUP(tbl_Data2[[#This Row],[Country]], Geo_Map[Country], Geo_Map[Score], 5)</f>
        <v>7</v>
      </c>
      <c r="L221" cm="1">
        <f t="array" ref="L221">_xlfn.IFS(tbl_Data2[[#This Row],[Tx_Count_30D]]&lt;=5,2,tbl_Data2[[#This Row],[Tx_Count_30D]]&lt;=15,5,tbl_Data2[[#This Row],[Tx_Count_30D]]&lt;=30,7,tbl_Data2[[#This Row],[Tx_Count_30D]]&gt;30,9)</f>
        <v>5</v>
      </c>
      <c r="M221" cm="1">
        <f t="array" ref="M221">_xlfn.IFS(
tbl_Data2[[#This Row],[Total_Amount_30D]]&lt;10000,2,
tbl_Data2[[#This Row],[Total_Amount_30D]]&lt;25000,5,
tbl_Data2[[#This Row],[Total_Amount_30D]]&lt;50000,7,
tbl_Data2[[#This Row],[Total_Amount_30D]]&gt;=50000,9
)</f>
        <v>7</v>
      </c>
      <c r="N221" cm="1">
        <f t="array" ref="N221">_xlfn.IFS(
tbl_Data2[[#This Row],[Amount_Deviation]]&lt;1.5,2,
tbl_Data2[[#This Row],[Amount_Deviation]]&lt;3,6,
tbl_Data2[[#This Row],[Amount_Deviation]]&lt;6,8,
tbl_Data2[[#This Row],[Amount_Deviation]]&gt;=6,10
)</f>
        <v>10</v>
      </c>
      <c r="O221">
        <f>ROUND(
    (tbl_Data2[[#This Row],[Geo_Score]]*0.2) +
    (tbl_Data2[[#This Row],[Velocity_Score]]*0.25) +
    (tbl_Data2[[#This Row],[Volume_Score]]*0.25) +
    (tbl_Data2[[#This Row],[Deviation_Score]]*0.3),
1
)</f>
        <v>7.4</v>
      </c>
      <c r="P221" t="str" cm="1">
        <f t="array" ref="P221">_xlfn.IFS(
tbl_Data2[[#This Row],[Final_Risk_Score]]&lt;5.5,"Low",
tbl_Data2[[#This Row],[Final_Risk_Score]]&lt;7.5,"Medium",
tbl_Data2[[#This Row],[Final_Risk_Score]]&gt;=7.5,"High"
)</f>
        <v>Medium</v>
      </c>
      <c r="Q221" t="str" cm="1">
        <f t="array" ref="Q221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22" spans="1:17">
      <c r="A222" t="str">
        <f>tbl_data[[#This Row],[Customer_ID]]</f>
        <v>CUST-221</v>
      </c>
      <c r="B222" t="str">
        <f>tbl_data[[#This Row],[Customer_Type]]</f>
        <v>Business</v>
      </c>
      <c r="C222" t="str">
        <f>tbl_data[[#This Row],[Country]]</f>
        <v>USA</v>
      </c>
      <c r="D222" t="str">
        <f>tbl_data[[#This Row],[Industry]]</f>
        <v>IT Services</v>
      </c>
      <c r="E222">
        <f>tbl_data[[#This Row],[Tx_Count_30D]]</f>
        <v>25</v>
      </c>
      <c r="F222">
        <f>tbl_data[[#This Row],[Total_Amount_30D]]</f>
        <v>107101</v>
      </c>
      <c r="G222">
        <f>tbl_data[[#This Row],[Avg_Tx_Count_6M]]</f>
        <v>1</v>
      </c>
      <c r="H222">
        <f>tbl_data[[#This Row],[Avg_Total_Amount_6M]]</f>
        <v>22717</v>
      </c>
      <c r="I222">
        <f>IFERROR(tbl_Data2[[#This Row],[Tx_Count_30D]]/tbl_Data2[[#This Row],[Avg_Tx_Count_6M]],0)</f>
        <v>25</v>
      </c>
      <c r="J222">
        <f>IFERROR(tbl_Data2[[#This Row],[Total_Amount_30D]]/tbl_Data2[[#This Row],[Avg_Total_Amount_6M]],0)</f>
        <v>4.7145749878945287</v>
      </c>
      <c r="K222">
        <f>_xlfn.XLOOKUP(tbl_Data2[[#This Row],[Country]], Geo_Map[Country], Geo_Map[Score], 5)</f>
        <v>1</v>
      </c>
      <c r="L222" cm="1">
        <f t="array" ref="L222">_xlfn.IFS(tbl_Data2[[#This Row],[Tx_Count_30D]]&lt;=5,2,tbl_Data2[[#This Row],[Tx_Count_30D]]&lt;=15,5,tbl_Data2[[#This Row],[Tx_Count_30D]]&lt;=30,7,tbl_Data2[[#This Row],[Tx_Count_30D]]&gt;30,9)</f>
        <v>7</v>
      </c>
      <c r="M222" cm="1">
        <f t="array" ref="M222">_xlfn.IFS(
tbl_Data2[[#This Row],[Total_Amount_30D]]&lt;10000,2,
tbl_Data2[[#This Row],[Total_Amount_30D]]&lt;25000,5,
tbl_Data2[[#This Row],[Total_Amount_30D]]&lt;50000,7,
tbl_Data2[[#This Row],[Total_Amount_30D]]&gt;=50000,9
)</f>
        <v>9</v>
      </c>
      <c r="N222" cm="1">
        <f t="array" ref="N222">_xlfn.IFS(
tbl_Data2[[#This Row],[Amount_Deviation]]&lt;1.5,2,
tbl_Data2[[#This Row],[Amount_Deviation]]&lt;3,6,
tbl_Data2[[#This Row],[Amount_Deviation]]&lt;6,8,
tbl_Data2[[#This Row],[Amount_Deviation]]&gt;=6,10
)</f>
        <v>8</v>
      </c>
      <c r="O222">
        <f>ROUND(
    (tbl_Data2[[#This Row],[Geo_Score]]*0.2) +
    (tbl_Data2[[#This Row],[Velocity_Score]]*0.25) +
    (tbl_Data2[[#This Row],[Volume_Score]]*0.25) +
    (tbl_Data2[[#This Row],[Deviation_Score]]*0.3),
1
)</f>
        <v>6.6</v>
      </c>
      <c r="P222" t="str" cm="1">
        <f t="array" ref="P222">_xlfn.IFS(
tbl_Data2[[#This Row],[Final_Risk_Score]]&lt;5.5,"Low",
tbl_Data2[[#This Row],[Final_Risk_Score]]&lt;7.5,"Medium",
tbl_Data2[[#This Row],[Final_Risk_Score]]&gt;=7.5,"High"
)</f>
        <v>Medium</v>
      </c>
      <c r="Q222" t="str" cm="1">
        <f t="array" ref="Q222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23" spans="1:17">
      <c r="A223" t="str">
        <f>tbl_data[[#This Row],[Customer_ID]]</f>
        <v>CUST-222</v>
      </c>
      <c r="B223" t="str">
        <f>tbl_data[[#This Row],[Customer_Type]]</f>
        <v>Individual</v>
      </c>
      <c r="C223" t="str">
        <f>tbl_data[[#This Row],[Country]]</f>
        <v>UAE</v>
      </c>
      <c r="D223" t="str">
        <f>tbl_data[[#This Row],[Industry]]</f>
        <v>Logistics</v>
      </c>
      <c r="E223">
        <f>tbl_data[[#This Row],[Tx_Count_30D]]</f>
        <v>4</v>
      </c>
      <c r="F223">
        <f>tbl_data[[#This Row],[Total_Amount_30D]]</f>
        <v>100097</v>
      </c>
      <c r="G223">
        <f>tbl_data[[#This Row],[Avg_Tx_Count_6M]]</f>
        <v>4</v>
      </c>
      <c r="H223">
        <f>tbl_data[[#This Row],[Avg_Total_Amount_6M]]</f>
        <v>20207</v>
      </c>
      <c r="I223">
        <f>IFERROR(tbl_Data2[[#This Row],[Tx_Count_30D]]/tbl_Data2[[#This Row],[Avg_Tx_Count_6M]],0)</f>
        <v>1</v>
      </c>
      <c r="J223">
        <f>IFERROR(tbl_Data2[[#This Row],[Total_Amount_30D]]/tbl_Data2[[#This Row],[Avg_Total_Amount_6M]],0)</f>
        <v>4.9535804424209431</v>
      </c>
      <c r="K223">
        <f>_xlfn.XLOOKUP(tbl_Data2[[#This Row],[Country]], Geo_Map[Country], Geo_Map[Score], 5)</f>
        <v>6</v>
      </c>
      <c r="L223" cm="1">
        <f t="array" ref="L223">_xlfn.IFS(tbl_Data2[[#This Row],[Tx_Count_30D]]&lt;=5,2,tbl_Data2[[#This Row],[Tx_Count_30D]]&lt;=15,5,tbl_Data2[[#This Row],[Tx_Count_30D]]&lt;=30,7,tbl_Data2[[#This Row],[Tx_Count_30D]]&gt;30,9)</f>
        <v>2</v>
      </c>
      <c r="M223" cm="1">
        <f t="array" ref="M223">_xlfn.IFS(
tbl_Data2[[#This Row],[Total_Amount_30D]]&lt;10000,2,
tbl_Data2[[#This Row],[Total_Amount_30D]]&lt;25000,5,
tbl_Data2[[#This Row],[Total_Amount_30D]]&lt;50000,7,
tbl_Data2[[#This Row],[Total_Amount_30D]]&gt;=50000,9
)</f>
        <v>9</v>
      </c>
      <c r="N223" cm="1">
        <f t="array" ref="N223">_xlfn.IFS(
tbl_Data2[[#This Row],[Amount_Deviation]]&lt;1.5,2,
tbl_Data2[[#This Row],[Amount_Deviation]]&lt;3,6,
tbl_Data2[[#This Row],[Amount_Deviation]]&lt;6,8,
tbl_Data2[[#This Row],[Amount_Deviation]]&gt;=6,10
)</f>
        <v>8</v>
      </c>
      <c r="O223">
        <f>ROUND(
    (tbl_Data2[[#This Row],[Geo_Score]]*0.2) +
    (tbl_Data2[[#This Row],[Velocity_Score]]*0.25) +
    (tbl_Data2[[#This Row],[Volume_Score]]*0.25) +
    (tbl_Data2[[#This Row],[Deviation_Score]]*0.3),
1
)</f>
        <v>6.4</v>
      </c>
      <c r="P223" t="str" cm="1">
        <f t="array" ref="P223">_xlfn.IFS(
tbl_Data2[[#This Row],[Final_Risk_Score]]&lt;5.5,"Low",
tbl_Data2[[#This Row],[Final_Risk_Score]]&lt;7.5,"Medium",
tbl_Data2[[#This Row],[Final_Risk_Score]]&gt;=7.5,"High"
)</f>
        <v>Medium</v>
      </c>
      <c r="Q223" t="str" cm="1">
        <f t="array" ref="Q223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24" spans="1:17">
      <c r="A224" t="str">
        <f>tbl_data[[#This Row],[Customer_ID]]</f>
        <v>CUST-223</v>
      </c>
      <c r="B224" t="str">
        <f>tbl_data[[#This Row],[Customer_Type]]</f>
        <v>Business</v>
      </c>
      <c r="C224" t="str">
        <f>tbl_data[[#This Row],[Country]]</f>
        <v>Seychelles</v>
      </c>
      <c r="D224" t="str">
        <f>tbl_data[[#This Row],[Industry]]</f>
        <v>Manufacturing</v>
      </c>
      <c r="E224">
        <f>tbl_data[[#This Row],[Tx_Count_30D]]</f>
        <v>17</v>
      </c>
      <c r="F224">
        <f>tbl_data[[#This Row],[Total_Amount_30D]]</f>
        <v>82390</v>
      </c>
      <c r="G224">
        <f>tbl_data[[#This Row],[Avg_Tx_Count_6M]]</f>
        <v>35</v>
      </c>
      <c r="H224">
        <f>tbl_data[[#This Row],[Avg_Total_Amount_6M]]</f>
        <v>70790</v>
      </c>
      <c r="I224">
        <f>IFERROR(tbl_Data2[[#This Row],[Tx_Count_30D]]/tbl_Data2[[#This Row],[Avg_Tx_Count_6M]],0)</f>
        <v>0.48571428571428571</v>
      </c>
      <c r="J224">
        <f>IFERROR(tbl_Data2[[#This Row],[Total_Amount_30D]]/tbl_Data2[[#This Row],[Avg_Total_Amount_6M]],0)</f>
        <v>1.1638649526769318</v>
      </c>
      <c r="K224">
        <f>_xlfn.XLOOKUP(tbl_Data2[[#This Row],[Country]], Geo_Map[Country], Geo_Map[Score], 5)</f>
        <v>9</v>
      </c>
      <c r="L224" cm="1">
        <f t="array" ref="L224">_xlfn.IFS(tbl_Data2[[#This Row],[Tx_Count_30D]]&lt;=5,2,tbl_Data2[[#This Row],[Tx_Count_30D]]&lt;=15,5,tbl_Data2[[#This Row],[Tx_Count_30D]]&lt;=30,7,tbl_Data2[[#This Row],[Tx_Count_30D]]&gt;30,9)</f>
        <v>7</v>
      </c>
      <c r="M224" cm="1">
        <f t="array" ref="M224">_xlfn.IFS(
tbl_Data2[[#This Row],[Total_Amount_30D]]&lt;10000,2,
tbl_Data2[[#This Row],[Total_Amount_30D]]&lt;25000,5,
tbl_Data2[[#This Row],[Total_Amount_30D]]&lt;50000,7,
tbl_Data2[[#This Row],[Total_Amount_30D]]&gt;=50000,9
)</f>
        <v>9</v>
      </c>
      <c r="N224" cm="1">
        <f t="array" ref="N224">_xlfn.IFS(
tbl_Data2[[#This Row],[Amount_Deviation]]&lt;1.5,2,
tbl_Data2[[#This Row],[Amount_Deviation]]&lt;3,6,
tbl_Data2[[#This Row],[Amount_Deviation]]&lt;6,8,
tbl_Data2[[#This Row],[Amount_Deviation]]&gt;=6,10
)</f>
        <v>2</v>
      </c>
      <c r="O224">
        <f>ROUND(
    (tbl_Data2[[#This Row],[Geo_Score]]*0.2) +
    (tbl_Data2[[#This Row],[Velocity_Score]]*0.25) +
    (tbl_Data2[[#This Row],[Volume_Score]]*0.25) +
    (tbl_Data2[[#This Row],[Deviation_Score]]*0.3),
1
)</f>
        <v>6.4</v>
      </c>
      <c r="P224" t="str" cm="1">
        <f t="array" ref="P224">_xlfn.IFS(
tbl_Data2[[#This Row],[Final_Risk_Score]]&lt;5.5,"Low",
tbl_Data2[[#This Row],[Final_Risk_Score]]&lt;7.5,"Medium",
tbl_Data2[[#This Row],[Final_Risk_Score]]&gt;=7.5,"High"
)</f>
        <v>Medium</v>
      </c>
      <c r="Q224" t="str" cm="1">
        <f t="array" ref="Q224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25" spans="1:17" hidden="1">
      <c r="A225" t="str">
        <f>tbl_data[[#This Row],[Customer_ID]]</f>
        <v>CUST-224</v>
      </c>
      <c r="B225" t="str">
        <f>tbl_data[[#This Row],[Customer_Type]]</f>
        <v>Business</v>
      </c>
      <c r="C225" t="str">
        <f>tbl_data[[#This Row],[Country]]</f>
        <v>Hong Kong</v>
      </c>
      <c r="D225" t="str">
        <f>tbl_data[[#This Row],[Industry]]</f>
        <v>IT Services</v>
      </c>
      <c r="E225">
        <f>tbl_data[[#This Row],[Tx_Count_30D]]</f>
        <v>45</v>
      </c>
      <c r="F225">
        <f>tbl_data[[#This Row],[Total_Amount_30D]]</f>
        <v>95624</v>
      </c>
      <c r="G225">
        <f>tbl_data[[#This Row],[Avg_Tx_Count_6M]]</f>
        <v>19</v>
      </c>
      <c r="H225">
        <f>tbl_data[[#This Row],[Avg_Total_Amount_6M]]</f>
        <v>36952</v>
      </c>
      <c r="I225">
        <f>IFERROR(tbl_Data2[[#This Row],[Tx_Count_30D]]/tbl_Data2[[#This Row],[Avg_Tx_Count_6M]],0)</f>
        <v>2.3684210526315788</v>
      </c>
      <c r="J225">
        <f>IFERROR(tbl_Data2[[#This Row],[Total_Amount_30D]]/tbl_Data2[[#This Row],[Avg_Total_Amount_6M]],0)</f>
        <v>2.5877895648408749</v>
      </c>
      <c r="K225">
        <f>_xlfn.XLOOKUP(tbl_Data2[[#This Row],[Country]], Geo_Map[Country], Geo_Map[Score], 5)</f>
        <v>6</v>
      </c>
      <c r="L225" cm="1">
        <f t="array" ref="L225">_xlfn.IFS(tbl_Data2[[#This Row],[Tx_Count_30D]]&lt;=5,2,tbl_Data2[[#This Row],[Tx_Count_30D]]&lt;=15,5,tbl_Data2[[#This Row],[Tx_Count_30D]]&lt;=30,7,tbl_Data2[[#This Row],[Tx_Count_30D]]&gt;30,9)</f>
        <v>9</v>
      </c>
      <c r="M225" cm="1">
        <f t="array" ref="M225">_xlfn.IFS(
tbl_Data2[[#This Row],[Total_Amount_30D]]&lt;10000,2,
tbl_Data2[[#This Row],[Total_Amount_30D]]&lt;25000,5,
tbl_Data2[[#This Row],[Total_Amount_30D]]&lt;50000,7,
tbl_Data2[[#This Row],[Total_Amount_30D]]&gt;=50000,9
)</f>
        <v>9</v>
      </c>
      <c r="N225" cm="1">
        <f t="array" ref="N225">_xlfn.IFS(
tbl_Data2[[#This Row],[Amount_Deviation]]&lt;1.5,2,
tbl_Data2[[#This Row],[Amount_Deviation]]&lt;3,6,
tbl_Data2[[#This Row],[Amount_Deviation]]&lt;6,8,
tbl_Data2[[#This Row],[Amount_Deviation]]&gt;=6,10
)</f>
        <v>6</v>
      </c>
      <c r="O225">
        <f>ROUND(
    (tbl_Data2[[#This Row],[Geo_Score]]*0.2) +
    (tbl_Data2[[#This Row],[Velocity_Score]]*0.25) +
    (tbl_Data2[[#This Row],[Volume_Score]]*0.25) +
    (tbl_Data2[[#This Row],[Deviation_Score]]*0.3),
1
)</f>
        <v>7.5</v>
      </c>
      <c r="P225" t="str" cm="1">
        <f t="array" ref="P225">_xlfn.IFS(
tbl_Data2[[#This Row],[Final_Risk_Score]]&lt;5.5,"Low",
tbl_Data2[[#This Row],[Final_Risk_Score]]&lt;7.5,"Medium",
tbl_Data2[[#This Row],[Final_Risk_Score]]&gt;=7.5,"High"
)</f>
        <v>High</v>
      </c>
      <c r="Q225" t="str" cm="1">
        <f t="array" ref="Q225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226" spans="1:17" hidden="1">
      <c r="A226" t="str">
        <f>tbl_data[[#This Row],[Customer_ID]]</f>
        <v>CUST-225</v>
      </c>
      <c r="B226" t="str">
        <f>tbl_data[[#This Row],[Customer_Type]]</f>
        <v>Business</v>
      </c>
      <c r="C226" t="str">
        <f>tbl_data[[#This Row],[Country]]</f>
        <v>USA</v>
      </c>
      <c r="D226" t="str">
        <f>tbl_data[[#This Row],[Industry]]</f>
        <v>Consulting</v>
      </c>
      <c r="E226">
        <f>tbl_data[[#This Row],[Tx_Count_30D]]</f>
        <v>4</v>
      </c>
      <c r="F226">
        <f>tbl_data[[#This Row],[Total_Amount_30D]]</f>
        <v>95391</v>
      </c>
      <c r="G226">
        <f>tbl_data[[#This Row],[Avg_Tx_Count_6M]]</f>
        <v>13</v>
      </c>
      <c r="H226">
        <f>tbl_data[[#This Row],[Avg_Total_Amount_6M]]</f>
        <v>54479</v>
      </c>
      <c r="I226">
        <f>IFERROR(tbl_Data2[[#This Row],[Tx_Count_30D]]/tbl_Data2[[#This Row],[Avg_Tx_Count_6M]],0)</f>
        <v>0.30769230769230771</v>
      </c>
      <c r="J226">
        <f>IFERROR(tbl_Data2[[#This Row],[Total_Amount_30D]]/tbl_Data2[[#This Row],[Avg_Total_Amount_6M]],0)</f>
        <v>1.7509682630004222</v>
      </c>
      <c r="K226">
        <f>_xlfn.XLOOKUP(tbl_Data2[[#This Row],[Country]], Geo_Map[Country], Geo_Map[Score], 5)</f>
        <v>1</v>
      </c>
      <c r="L226" cm="1">
        <f t="array" ref="L226">_xlfn.IFS(tbl_Data2[[#This Row],[Tx_Count_30D]]&lt;=5,2,tbl_Data2[[#This Row],[Tx_Count_30D]]&lt;=15,5,tbl_Data2[[#This Row],[Tx_Count_30D]]&lt;=30,7,tbl_Data2[[#This Row],[Tx_Count_30D]]&gt;30,9)</f>
        <v>2</v>
      </c>
      <c r="M226" cm="1">
        <f t="array" ref="M226">_xlfn.IFS(
tbl_Data2[[#This Row],[Total_Amount_30D]]&lt;10000,2,
tbl_Data2[[#This Row],[Total_Amount_30D]]&lt;25000,5,
tbl_Data2[[#This Row],[Total_Amount_30D]]&lt;50000,7,
tbl_Data2[[#This Row],[Total_Amount_30D]]&gt;=50000,9
)</f>
        <v>9</v>
      </c>
      <c r="N226" cm="1">
        <f t="array" ref="N226">_xlfn.IFS(
tbl_Data2[[#This Row],[Amount_Deviation]]&lt;1.5,2,
tbl_Data2[[#This Row],[Amount_Deviation]]&lt;3,6,
tbl_Data2[[#This Row],[Amount_Deviation]]&lt;6,8,
tbl_Data2[[#This Row],[Amount_Deviation]]&gt;=6,10
)</f>
        <v>6</v>
      </c>
      <c r="O226">
        <f>ROUND(
    (tbl_Data2[[#This Row],[Geo_Score]]*0.2) +
    (tbl_Data2[[#This Row],[Velocity_Score]]*0.25) +
    (tbl_Data2[[#This Row],[Volume_Score]]*0.25) +
    (tbl_Data2[[#This Row],[Deviation_Score]]*0.3),
1
)</f>
        <v>4.8</v>
      </c>
      <c r="P226" t="str" cm="1">
        <f t="array" ref="P226">_xlfn.IFS(
tbl_Data2[[#This Row],[Final_Risk_Score]]&lt;5.5,"Low",
tbl_Data2[[#This Row],[Final_Risk_Score]]&lt;7.5,"Medium",
tbl_Data2[[#This Row],[Final_Risk_Score]]&gt;=7.5,"High"
)</f>
        <v>Low</v>
      </c>
      <c r="Q226" t="str" cm="1">
        <f t="array" ref="Q226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227" spans="1:17">
      <c r="A227" t="str">
        <f>tbl_data[[#This Row],[Customer_ID]]</f>
        <v>CUST-226</v>
      </c>
      <c r="B227" t="str">
        <f>tbl_data[[#This Row],[Customer_Type]]</f>
        <v>Business</v>
      </c>
      <c r="C227" t="str">
        <f>tbl_data[[#This Row],[Country]]</f>
        <v>BVI</v>
      </c>
      <c r="D227" t="str">
        <f>tbl_data[[#This Row],[Industry]]</f>
        <v>Manufacturing</v>
      </c>
      <c r="E227">
        <f>tbl_data[[#This Row],[Tx_Count_30D]]</f>
        <v>32</v>
      </c>
      <c r="F227">
        <f>tbl_data[[#This Row],[Total_Amount_30D]]</f>
        <v>57022</v>
      </c>
      <c r="G227">
        <f>tbl_data[[#This Row],[Avg_Tx_Count_6M]]</f>
        <v>5</v>
      </c>
      <c r="H227">
        <f>tbl_data[[#This Row],[Avg_Total_Amount_6M]]</f>
        <v>39034</v>
      </c>
      <c r="I227">
        <f>IFERROR(tbl_Data2[[#This Row],[Tx_Count_30D]]/tbl_Data2[[#This Row],[Avg_Tx_Count_6M]],0)</f>
        <v>6.4</v>
      </c>
      <c r="J227">
        <f>IFERROR(tbl_Data2[[#This Row],[Total_Amount_30D]]/tbl_Data2[[#This Row],[Avg_Total_Amount_6M]],0)</f>
        <v>1.4608290208536148</v>
      </c>
      <c r="K227">
        <f>_xlfn.XLOOKUP(tbl_Data2[[#This Row],[Country]], Geo_Map[Country], Geo_Map[Score], 5)</f>
        <v>9</v>
      </c>
      <c r="L227" cm="1">
        <f t="array" ref="L227">_xlfn.IFS(tbl_Data2[[#This Row],[Tx_Count_30D]]&lt;=5,2,tbl_Data2[[#This Row],[Tx_Count_30D]]&lt;=15,5,tbl_Data2[[#This Row],[Tx_Count_30D]]&lt;=30,7,tbl_Data2[[#This Row],[Tx_Count_30D]]&gt;30,9)</f>
        <v>9</v>
      </c>
      <c r="M227" cm="1">
        <f t="array" ref="M227">_xlfn.IFS(
tbl_Data2[[#This Row],[Total_Amount_30D]]&lt;10000,2,
tbl_Data2[[#This Row],[Total_Amount_30D]]&lt;25000,5,
tbl_Data2[[#This Row],[Total_Amount_30D]]&lt;50000,7,
tbl_Data2[[#This Row],[Total_Amount_30D]]&gt;=50000,9
)</f>
        <v>9</v>
      </c>
      <c r="N227" cm="1">
        <f t="array" ref="N227">_xlfn.IFS(
tbl_Data2[[#This Row],[Amount_Deviation]]&lt;1.5,2,
tbl_Data2[[#This Row],[Amount_Deviation]]&lt;3,6,
tbl_Data2[[#This Row],[Amount_Deviation]]&lt;6,8,
tbl_Data2[[#This Row],[Amount_Deviation]]&gt;=6,10
)</f>
        <v>2</v>
      </c>
      <c r="O227">
        <f>ROUND(
    (tbl_Data2[[#This Row],[Geo_Score]]*0.2) +
    (tbl_Data2[[#This Row],[Velocity_Score]]*0.25) +
    (tbl_Data2[[#This Row],[Volume_Score]]*0.25) +
    (tbl_Data2[[#This Row],[Deviation_Score]]*0.3),
1
)</f>
        <v>6.9</v>
      </c>
      <c r="P227" t="str" cm="1">
        <f t="array" ref="P227">_xlfn.IFS(
tbl_Data2[[#This Row],[Final_Risk_Score]]&lt;5.5,"Low",
tbl_Data2[[#This Row],[Final_Risk_Score]]&lt;7.5,"Medium",
tbl_Data2[[#This Row],[Final_Risk_Score]]&gt;=7.5,"High"
)</f>
        <v>Medium</v>
      </c>
      <c r="Q227" t="str" cm="1">
        <f t="array" ref="Q227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28" spans="1:17" hidden="1">
      <c r="A228" t="str">
        <f>tbl_data[[#This Row],[Customer_ID]]</f>
        <v>CUST-227</v>
      </c>
      <c r="B228" t="str">
        <f>tbl_data[[#This Row],[Customer_Type]]</f>
        <v>Business</v>
      </c>
      <c r="C228" t="str">
        <f>tbl_data[[#This Row],[Country]]</f>
        <v>USA</v>
      </c>
      <c r="D228" t="str">
        <f>tbl_data[[#This Row],[Industry]]</f>
        <v>Import/Export</v>
      </c>
      <c r="E228">
        <f>tbl_data[[#This Row],[Tx_Count_30D]]</f>
        <v>37</v>
      </c>
      <c r="F228">
        <f>tbl_data[[#This Row],[Total_Amount_30D]]</f>
        <v>14502</v>
      </c>
      <c r="G228">
        <f>tbl_data[[#This Row],[Avg_Tx_Count_6M]]</f>
        <v>33</v>
      </c>
      <c r="H228">
        <f>tbl_data[[#This Row],[Avg_Total_Amount_6M]]</f>
        <v>49258</v>
      </c>
      <c r="I228">
        <f>IFERROR(tbl_Data2[[#This Row],[Tx_Count_30D]]/tbl_Data2[[#This Row],[Avg_Tx_Count_6M]],0)</f>
        <v>1.1212121212121211</v>
      </c>
      <c r="J228">
        <f>IFERROR(tbl_Data2[[#This Row],[Total_Amount_30D]]/tbl_Data2[[#This Row],[Avg_Total_Amount_6M]],0)</f>
        <v>0.29440903000527835</v>
      </c>
      <c r="K228">
        <f>_xlfn.XLOOKUP(tbl_Data2[[#This Row],[Country]], Geo_Map[Country], Geo_Map[Score], 5)</f>
        <v>1</v>
      </c>
      <c r="L228" cm="1">
        <f t="array" ref="L228">_xlfn.IFS(tbl_Data2[[#This Row],[Tx_Count_30D]]&lt;=5,2,tbl_Data2[[#This Row],[Tx_Count_30D]]&lt;=15,5,tbl_Data2[[#This Row],[Tx_Count_30D]]&lt;=30,7,tbl_Data2[[#This Row],[Tx_Count_30D]]&gt;30,9)</f>
        <v>9</v>
      </c>
      <c r="M228" cm="1">
        <f t="array" ref="M228">_xlfn.IFS(
tbl_Data2[[#This Row],[Total_Amount_30D]]&lt;10000,2,
tbl_Data2[[#This Row],[Total_Amount_30D]]&lt;25000,5,
tbl_Data2[[#This Row],[Total_Amount_30D]]&lt;50000,7,
tbl_Data2[[#This Row],[Total_Amount_30D]]&gt;=50000,9
)</f>
        <v>5</v>
      </c>
      <c r="N228" cm="1">
        <f t="array" ref="N228">_xlfn.IFS(
tbl_Data2[[#This Row],[Amount_Deviation]]&lt;1.5,2,
tbl_Data2[[#This Row],[Amount_Deviation]]&lt;3,6,
tbl_Data2[[#This Row],[Amount_Deviation]]&lt;6,8,
tbl_Data2[[#This Row],[Amount_Deviation]]&gt;=6,10
)</f>
        <v>2</v>
      </c>
      <c r="O228">
        <f>ROUND(
    (tbl_Data2[[#This Row],[Geo_Score]]*0.2) +
    (tbl_Data2[[#This Row],[Velocity_Score]]*0.25) +
    (tbl_Data2[[#This Row],[Volume_Score]]*0.25) +
    (tbl_Data2[[#This Row],[Deviation_Score]]*0.3),
1
)</f>
        <v>4.3</v>
      </c>
      <c r="P228" t="str" cm="1">
        <f t="array" ref="P228">_xlfn.IFS(
tbl_Data2[[#This Row],[Final_Risk_Score]]&lt;5.5,"Low",
tbl_Data2[[#This Row],[Final_Risk_Score]]&lt;7.5,"Medium",
tbl_Data2[[#This Row],[Final_Risk_Score]]&gt;=7.5,"High"
)</f>
        <v>Low</v>
      </c>
      <c r="Q228" t="str" cm="1">
        <f t="array" ref="Q228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229" spans="1:17">
      <c r="A229" t="str">
        <f>tbl_data[[#This Row],[Customer_ID]]</f>
        <v>CUST-228</v>
      </c>
      <c r="B229" t="str">
        <f>tbl_data[[#This Row],[Customer_Type]]</f>
        <v>Individual</v>
      </c>
      <c r="C229" t="str">
        <f>tbl_data[[#This Row],[Country]]</f>
        <v>USA</v>
      </c>
      <c r="D229" t="str">
        <f>tbl_data[[#This Row],[Industry]]</f>
        <v>Import/Export</v>
      </c>
      <c r="E229">
        <f>tbl_data[[#This Row],[Tx_Count_30D]]</f>
        <v>9</v>
      </c>
      <c r="F229">
        <f>tbl_data[[#This Row],[Total_Amount_30D]]</f>
        <v>84968</v>
      </c>
      <c r="G229">
        <f>tbl_data[[#This Row],[Avg_Tx_Count_6M]]</f>
        <v>5</v>
      </c>
      <c r="H229">
        <f>tbl_data[[#This Row],[Avg_Total_Amount_6M]]</f>
        <v>32036</v>
      </c>
      <c r="I229">
        <f>IFERROR(tbl_Data2[[#This Row],[Tx_Count_30D]]/tbl_Data2[[#This Row],[Avg_Tx_Count_6M]],0)</f>
        <v>1.8</v>
      </c>
      <c r="J229">
        <f>IFERROR(tbl_Data2[[#This Row],[Total_Amount_30D]]/tbl_Data2[[#This Row],[Avg_Total_Amount_6M]],0)</f>
        <v>2.65226620052441</v>
      </c>
      <c r="K229">
        <f>_xlfn.XLOOKUP(tbl_Data2[[#This Row],[Country]], Geo_Map[Country], Geo_Map[Score], 5)</f>
        <v>1</v>
      </c>
      <c r="L229" cm="1">
        <f t="array" ref="L229">_xlfn.IFS(tbl_Data2[[#This Row],[Tx_Count_30D]]&lt;=5,2,tbl_Data2[[#This Row],[Tx_Count_30D]]&lt;=15,5,tbl_Data2[[#This Row],[Tx_Count_30D]]&lt;=30,7,tbl_Data2[[#This Row],[Tx_Count_30D]]&gt;30,9)</f>
        <v>5</v>
      </c>
      <c r="M229" cm="1">
        <f t="array" ref="M229">_xlfn.IFS(
tbl_Data2[[#This Row],[Total_Amount_30D]]&lt;10000,2,
tbl_Data2[[#This Row],[Total_Amount_30D]]&lt;25000,5,
tbl_Data2[[#This Row],[Total_Amount_30D]]&lt;50000,7,
tbl_Data2[[#This Row],[Total_Amount_30D]]&gt;=50000,9
)</f>
        <v>9</v>
      </c>
      <c r="N229" cm="1">
        <f t="array" ref="N229">_xlfn.IFS(
tbl_Data2[[#This Row],[Amount_Deviation]]&lt;1.5,2,
tbl_Data2[[#This Row],[Amount_Deviation]]&lt;3,6,
tbl_Data2[[#This Row],[Amount_Deviation]]&lt;6,8,
tbl_Data2[[#This Row],[Amount_Deviation]]&gt;=6,10
)</f>
        <v>6</v>
      </c>
      <c r="O229">
        <f>ROUND(
    (tbl_Data2[[#This Row],[Geo_Score]]*0.2) +
    (tbl_Data2[[#This Row],[Velocity_Score]]*0.25) +
    (tbl_Data2[[#This Row],[Volume_Score]]*0.25) +
    (tbl_Data2[[#This Row],[Deviation_Score]]*0.3),
1
)</f>
        <v>5.5</v>
      </c>
      <c r="P229" t="str" cm="1">
        <f t="array" ref="P229">_xlfn.IFS(
tbl_Data2[[#This Row],[Final_Risk_Score]]&lt;5.5,"Low",
tbl_Data2[[#This Row],[Final_Risk_Score]]&lt;7.5,"Medium",
tbl_Data2[[#This Row],[Final_Risk_Score]]&gt;=7.5,"High"
)</f>
        <v>Medium</v>
      </c>
      <c r="Q229" t="str" cm="1">
        <f t="array" ref="Q229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30" spans="1:17">
      <c r="A230" t="str">
        <f>tbl_data[[#This Row],[Customer_ID]]</f>
        <v>CUST-229</v>
      </c>
      <c r="B230" t="str">
        <f>tbl_data[[#This Row],[Customer_Type]]</f>
        <v>Business</v>
      </c>
      <c r="C230" t="str">
        <f>tbl_data[[#This Row],[Country]]</f>
        <v>Hong Kong</v>
      </c>
      <c r="D230" t="str">
        <f>tbl_data[[#This Row],[Industry]]</f>
        <v>Import/Export</v>
      </c>
      <c r="E230">
        <f>tbl_data[[#This Row],[Tx_Count_30D]]</f>
        <v>35</v>
      </c>
      <c r="F230">
        <f>tbl_data[[#This Row],[Total_Amount_30D]]</f>
        <v>58553</v>
      </c>
      <c r="G230">
        <f>tbl_data[[#This Row],[Avg_Tx_Count_6M]]</f>
        <v>39</v>
      </c>
      <c r="H230">
        <f>tbl_data[[#This Row],[Avg_Total_Amount_6M]]</f>
        <v>53479</v>
      </c>
      <c r="I230">
        <f>IFERROR(tbl_Data2[[#This Row],[Tx_Count_30D]]/tbl_Data2[[#This Row],[Avg_Tx_Count_6M]],0)</f>
        <v>0.89743589743589747</v>
      </c>
      <c r="J230">
        <f>IFERROR(tbl_Data2[[#This Row],[Total_Amount_30D]]/tbl_Data2[[#This Row],[Avg_Total_Amount_6M]],0)</f>
        <v>1.0948783634697732</v>
      </c>
      <c r="K230">
        <f>_xlfn.XLOOKUP(tbl_Data2[[#This Row],[Country]], Geo_Map[Country], Geo_Map[Score], 5)</f>
        <v>6</v>
      </c>
      <c r="L230" cm="1">
        <f t="array" ref="L230">_xlfn.IFS(tbl_Data2[[#This Row],[Tx_Count_30D]]&lt;=5,2,tbl_Data2[[#This Row],[Tx_Count_30D]]&lt;=15,5,tbl_Data2[[#This Row],[Tx_Count_30D]]&lt;=30,7,tbl_Data2[[#This Row],[Tx_Count_30D]]&gt;30,9)</f>
        <v>9</v>
      </c>
      <c r="M230" cm="1">
        <f t="array" ref="M230">_xlfn.IFS(
tbl_Data2[[#This Row],[Total_Amount_30D]]&lt;10000,2,
tbl_Data2[[#This Row],[Total_Amount_30D]]&lt;25000,5,
tbl_Data2[[#This Row],[Total_Amount_30D]]&lt;50000,7,
tbl_Data2[[#This Row],[Total_Amount_30D]]&gt;=50000,9
)</f>
        <v>9</v>
      </c>
      <c r="N230" cm="1">
        <f t="array" ref="N230">_xlfn.IFS(
tbl_Data2[[#This Row],[Amount_Deviation]]&lt;1.5,2,
tbl_Data2[[#This Row],[Amount_Deviation]]&lt;3,6,
tbl_Data2[[#This Row],[Amount_Deviation]]&lt;6,8,
tbl_Data2[[#This Row],[Amount_Deviation]]&gt;=6,10
)</f>
        <v>2</v>
      </c>
      <c r="O230">
        <f>ROUND(
    (tbl_Data2[[#This Row],[Geo_Score]]*0.2) +
    (tbl_Data2[[#This Row],[Velocity_Score]]*0.25) +
    (tbl_Data2[[#This Row],[Volume_Score]]*0.25) +
    (tbl_Data2[[#This Row],[Deviation_Score]]*0.3),
1
)</f>
        <v>6.3</v>
      </c>
      <c r="P230" t="str" cm="1">
        <f t="array" ref="P230">_xlfn.IFS(
tbl_Data2[[#This Row],[Final_Risk_Score]]&lt;5.5,"Low",
tbl_Data2[[#This Row],[Final_Risk_Score]]&lt;7.5,"Medium",
tbl_Data2[[#This Row],[Final_Risk_Score]]&gt;=7.5,"High"
)</f>
        <v>Medium</v>
      </c>
      <c r="Q230" t="str" cm="1">
        <f t="array" ref="Q230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31" spans="1:17" hidden="1">
      <c r="A231" t="str">
        <f>tbl_data[[#This Row],[Customer_ID]]</f>
        <v>CUST-230</v>
      </c>
      <c r="B231" t="str">
        <f>tbl_data[[#This Row],[Customer_Type]]</f>
        <v>Business</v>
      </c>
      <c r="C231" t="str">
        <f>tbl_data[[#This Row],[Country]]</f>
        <v>UAE</v>
      </c>
      <c r="D231" t="str">
        <f>tbl_data[[#This Row],[Industry]]</f>
        <v>IT Services</v>
      </c>
      <c r="E231">
        <f>tbl_data[[#This Row],[Tx_Count_30D]]</f>
        <v>48</v>
      </c>
      <c r="F231">
        <f>tbl_data[[#This Row],[Total_Amount_30D]]</f>
        <v>109821</v>
      </c>
      <c r="G231">
        <f>tbl_data[[#This Row],[Avg_Tx_Count_6M]]</f>
        <v>25</v>
      </c>
      <c r="H231">
        <f>tbl_data[[#This Row],[Avg_Total_Amount_6M]]</f>
        <v>21240</v>
      </c>
      <c r="I231">
        <f>IFERROR(tbl_Data2[[#This Row],[Tx_Count_30D]]/tbl_Data2[[#This Row],[Avg_Tx_Count_6M]],0)</f>
        <v>1.92</v>
      </c>
      <c r="J231">
        <f>IFERROR(tbl_Data2[[#This Row],[Total_Amount_30D]]/tbl_Data2[[#This Row],[Avg_Total_Amount_6M]],0)</f>
        <v>5.1704802259887002</v>
      </c>
      <c r="K231">
        <f>_xlfn.XLOOKUP(tbl_Data2[[#This Row],[Country]], Geo_Map[Country], Geo_Map[Score], 5)</f>
        <v>6</v>
      </c>
      <c r="L231" cm="1">
        <f t="array" ref="L231">_xlfn.IFS(tbl_Data2[[#This Row],[Tx_Count_30D]]&lt;=5,2,tbl_Data2[[#This Row],[Tx_Count_30D]]&lt;=15,5,tbl_Data2[[#This Row],[Tx_Count_30D]]&lt;=30,7,tbl_Data2[[#This Row],[Tx_Count_30D]]&gt;30,9)</f>
        <v>9</v>
      </c>
      <c r="M231" cm="1">
        <f t="array" ref="M231">_xlfn.IFS(
tbl_Data2[[#This Row],[Total_Amount_30D]]&lt;10000,2,
tbl_Data2[[#This Row],[Total_Amount_30D]]&lt;25000,5,
tbl_Data2[[#This Row],[Total_Amount_30D]]&lt;50000,7,
tbl_Data2[[#This Row],[Total_Amount_30D]]&gt;=50000,9
)</f>
        <v>9</v>
      </c>
      <c r="N231" cm="1">
        <f t="array" ref="N231">_xlfn.IFS(
tbl_Data2[[#This Row],[Amount_Deviation]]&lt;1.5,2,
tbl_Data2[[#This Row],[Amount_Deviation]]&lt;3,6,
tbl_Data2[[#This Row],[Amount_Deviation]]&lt;6,8,
tbl_Data2[[#This Row],[Amount_Deviation]]&gt;=6,10
)</f>
        <v>8</v>
      </c>
      <c r="O231">
        <f>ROUND(
    (tbl_Data2[[#This Row],[Geo_Score]]*0.2) +
    (tbl_Data2[[#This Row],[Velocity_Score]]*0.25) +
    (tbl_Data2[[#This Row],[Volume_Score]]*0.25) +
    (tbl_Data2[[#This Row],[Deviation_Score]]*0.3),
1
)</f>
        <v>8.1</v>
      </c>
      <c r="P231" t="str" cm="1">
        <f t="array" ref="P231">_xlfn.IFS(
tbl_Data2[[#This Row],[Final_Risk_Score]]&lt;5.5,"Low",
tbl_Data2[[#This Row],[Final_Risk_Score]]&lt;7.5,"Medium",
tbl_Data2[[#This Row],[Final_Risk_Score]]&gt;=7.5,"High"
)</f>
        <v>High</v>
      </c>
      <c r="Q231" t="str" cm="1">
        <f t="array" ref="Q231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232" spans="1:17">
      <c r="A232" t="str">
        <f>tbl_data[[#This Row],[Customer_ID]]</f>
        <v>CUST-231</v>
      </c>
      <c r="B232" t="str">
        <f>tbl_data[[#This Row],[Customer_Type]]</f>
        <v>Business</v>
      </c>
      <c r="C232" t="str">
        <f>tbl_data[[#This Row],[Country]]</f>
        <v>Hong Kong</v>
      </c>
      <c r="D232" t="str">
        <f>tbl_data[[#This Row],[Industry]]</f>
        <v>Consulting</v>
      </c>
      <c r="E232">
        <f>tbl_data[[#This Row],[Tx_Count_30D]]</f>
        <v>27</v>
      </c>
      <c r="F232">
        <f>tbl_data[[#This Row],[Total_Amount_30D]]</f>
        <v>18945</v>
      </c>
      <c r="G232">
        <f>tbl_data[[#This Row],[Avg_Tx_Count_6M]]</f>
        <v>13</v>
      </c>
      <c r="H232">
        <f>tbl_data[[#This Row],[Avg_Total_Amount_6M]]</f>
        <v>11341</v>
      </c>
      <c r="I232">
        <f>IFERROR(tbl_Data2[[#This Row],[Tx_Count_30D]]/tbl_Data2[[#This Row],[Avg_Tx_Count_6M]],0)</f>
        <v>2.0769230769230771</v>
      </c>
      <c r="J232">
        <f>IFERROR(tbl_Data2[[#This Row],[Total_Amount_30D]]/tbl_Data2[[#This Row],[Avg_Total_Amount_6M]],0)</f>
        <v>1.6704876113217528</v>
      </c>
      <c r="K232">
        <f>_xlfn.XLOOKUP(tbl_Data2[[#This Row],[Country]], Geo_Map[Country], Geo_Map[Score], 5)</f>
        <v>6</v>
      </c>
      <c r="L232" cm="1">
        <f t="array" ref="L232">_xlfn.IFS(tbl_Data2[[#This Row],[Tx_Count_30D]]&lt;=5,2,tbl_Data2[[#This Row],[Tx_Count_30D]]&lt;=15,5,tbl_Data2[[#This Row],[Tx_Count_30D]]&lt;=30,7,tbl_Data2[[#This Row],[Tx_Count_30D]]&gt;30,9)</f>
        <v>7</v>
      </c>
      <c r="M232" cm="1">
        <f t="array" ref="M232">_xlfn.IFS(
tbl_Data2[[#This Row],[Total_Amount_30D]]&lt;10000,2,
tbl_Data2[[#This Row],[Total_Amount_30D]]&lt;25000,5,
tbl_Data2[[#This Row],[Total_Amount_30D]]&lt;50000,7,
tbl_Data2[[#This Row],[Total_Amount_30D]]&gt;=50000,9
)</f>
        <v>5</v>
      </c>
      <c r="N232" cm="1">
        <f t="array" ref="N232">_xlfn.IFS(
tbl_Data2[[#This Row],[Amount_Deviation]]&lt;1.5,2,
tbl_Data2[[#This Row],[Amount_Deviation]]&lt;3,6,
tbl_Data2[[#This Row],[Amount_Deviation]]&lt;6,8,
tbl_Data2[[#This Row],[Amount_Deviation]]&gt;=6,10
)</f>
        <v>6</v>
      </c>
      <c r="O232">
        <f>ROUND(
    (tbl_Data2[[#This Row],[Geo_Score]]*0.2) +
    (tbl_Data2[[#This Row],[Velocity_Score]]*0.25) +
    (tbl_Data2[[#This Row],[Volume_Score]]*0.25) +
    (tbl_Data2[[#This Row],[Deviation_Score]]*0.3),
1
)</f>
        <v>6</v>
      </c>
      <c r="P232" t="str" cm="1">
        <f t="array" ref="P232">_xlfn.IFS(
tbl_Data2[[#This Row],[Final_Risk_Score]]&lt;5.5,"Low",
tbl_Data2[[#This Row],[Final_Risk_Score]]&lt;7.5,"Medium",
tbl_Data2[[#This Row],[Final_Risk_Score]]&gt;=7.5,"High"
)</f>
        <v>Medium</v>
      </c>
      <c r="Q232" t="str" cm="1">
        <f t="array" ref="Q232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33" spans="1:17" hidden="1">
      <c r="A233" t="str">
        <f>tbl_data[[#This Row],[Customer_ID]]</f>
        <v>CUST-232</v>
      </c>
      <c r="B233" t="str">
        <f>tbl_data[[#This Row],[Customer_Type]]</f>
        <v>Business</v>
      </c>
      <c r="C233" t="str">
        <f>tbl_data[[#This Row],[Country]]</f>
        <v>Hong Kong</v>
      </c>
      <c r="D233" t="str">
        <f>tbl_data[[#This Row],[Industry]]</f>
        <v>Manufacturing</v>
      </c>
      <c r="E233">
        <f>tbl_data[[#This Row],[Tx_Count_30D]]</f>
        <v>6</v>
      </c>
      <c r="F233">
        <f>tbl_data[[#This Row],[Total_Amount_30D]]</f>
        <v>95415</v>
      </c>
      <c r="G233">
        <f>tbl_data[[#This Row],[Avg_Tx_Count_6M]]</f>
        <v>6</v>
      </c>
      <c r="H233">
        <f>tbl_data[[#This Row],[Avg_Total_Amount_6M]]</f>
        <v>15366</v>
      </c>
      <c r="I233">
        <f>IFERROR(tbl_Data2[[#This Row],[Tx_Count_30D]]/tbl_Data2[[#This Row],[Avg_Tx_Count_6M]],0)</f>
        <v>1</v>
      </c>
      <c r="J233">
        <f>IFERROR(tbl_Data2[[#This Row],[Total_Amount_30D]]/tbl_Data2[[#This Row],[Avg_Total_Amount_6M]],0)</f>
        <v>6.2094884810620847</v>
      </c>
      <c r="K233">
        <f>_xlfn.XLOOKUP(tbl_Data2[[#This Row],[Country]], Geo_Map[Country], Geo_Map[Score], 5)</f>
        <v>6</v>
      </c>
      <c r="L233" cm="1">
        <f t="array" ref="L233">_xlfn.IFS(tbl_Data2[[#This Row],[Tx_Count_30D]]&lt;=5,2,tbl_Data2[[#This Row],[Tx_Count_30D]]&lt;=15,5,tbl_Data2[[#This Row],[Tx_Count_30D]]&lt;=30,7,tbl_Data2[[#This Row],[Tx_Count_30D]]&gt;30,9)</f>
        <v>5</v>
      </c>
      <c r="M233" cm="1">
        <f t="array" ref="M233">_xlfn.IFS(
tbl_Data2[[#This Row],[Total_Amount_30D]]&lt;10000,2,
tbl_Data2[[#This Row],[Total_Amount_30D]]&lt;25000,5,
tbl_Data2[[#This Row],[Total_Amount_30D]]&lt;50000,7,
tbl_Data2[[#This Row],[Total_Amount_30D]]&gt;=50000,9
)</f>
        <v>9</v>
      </c>
      <c r="N233" cm="1">
        <f t="array" ref="N233">_xlfn.IFS(
tbl_Data2[[#This Row],[Amount_Deviation]]&lt;1.5,2,
tbl_Data2[[#This Row],[Amount_Deviation]]&lt;3,6,
tbl_Data2[[#This Row],[Amount_Deviation]]&lt;6,8,
tbl_Data2[[#This Row],[Amount_Deviation]]&gt;=6,10
)</f>
        <v>10</v>
      </c>
      <c r="O233">
        <f>ROUND(
    (tbl_Data2[[#This Row],[Geo_Score]]*0.2) +
    (tbl_Data2[[#This Row],[Velocity_Score]]*0.25) +
    (tbl_Data2[[#This Row],[Volume_Score]]*0.25) +
    (tbl_Data2[[#This Row],[Deviation_Score]]*0.3),
1
)</f>
        <v>7.7</v>
      </c>
      <c r="P233" t="str" cm="1">
        <f t="array" ref="P233">_xlfn.IFS(
tbl_Data2[[#This Row],[Final_Risk_Score]]&lt;5.5,"Low",
tbl_Data2[[#This Row],[Final_Risk_Score]]&lt;7.5,"Medium",
tbl_Data2[[#This Row],[Final_Risk_Score]]&gt;=7.5,"High"
)</f>
        <v>High</v>
      </c>
      <c r="Q233" t="str" cm="1">
        <f t="array" ref="Q233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234" spans="1:17" hidden="1">
      <c r="A234" t="str">
        <f>tbl_data[[#This Row],[Customer_ID]]</f>
        <v>CUST-233</v>
      </c>
      <c r="B234" t="str">
        <f>tbl_data[[#This Row],[Customer_Type]]</f>
        <v>Business</v>
      </c>
      <c r="C234" t="str">
        <f>tbl_data[[#This Row],[Country]]</f>
        <v>Seychelles</v>
      </c>
      <c r="D234" t="str">
        <f>tbl_data[[#This Row],[Industry]]</f>
        <v>Trading</v>
      </c>
      <c r="E234">
        <f>tbl_data[[#This Row],[Tx_Count_30D]]</f>
        <v>55</v>
      </c>
      <c r="F234">
        <f>tbl_data[[#This Row],[Total_Amount_30D]]</f>
        <v>100889</v>
      </c>
      <c r="G234">
        <f>tbl_data[[#This Row],[Avg_Tx_Count_6M]]</f>
        <v>24</v>
      </c>
      <c r="H234">
        <f>tbl_data[[#This Row],[Avg_Total_Amount_6M]]</f>
        <v>24885</v>
      </c>
      <c r="I234">
        <f>IFERROR(tbl_Data2[[#This Row],[Tx_Count_30D]]/tbl_Data2[[#This Row],[Avg_Tx_Count_6M]],0)</f>
        <v>2.2916666666666665</v>
      </c>
      <c r="J234">
        <f>IFERROR(tbl_Data2[[#This Row],[Total_Amount_30D]]/tbl_Data2[[#This Row],[Avg_Total_Amount_6M]],0)</f>
        <v>4.0542093630701226</v>
      </c>
      <c r="K234">
        <f>_xlfn.XLOOKUP(tbl_Data2[[#This Row],[Country]], Geo_Map[Country], Geo_Map[Score], 5)</f>
        <v>9</v>
      </c>
      <c r="L234" cm="1">
        <f t="array" ref="L234">_xlfn.IFS(tbl_Data2[[#This Row],[Tx_Count_30D]]&lt;=5,2,tbl_Data2[[#This Row],[Tx_Count_30D]]&lt;=15,5,tbl_Data2[[#This Row],[Tx_Count_30D]]&lt;=30,7,tbl_Data2[[#This Row],[Tx_Count_30D]]&gt;30,9)</f>
        <v>9</v>
      </c>
      <c r="M234" cm="1">
        <f t="array" ref="M234">_xlfn.IFS(
tbl_Data2[[#This Row],[Total_Amount_30D]]&lt;10000,2,
tbl_Data2[[#This Row],[Total_Amount_30D]]&lt;25000,5,
tbl_Data2[[#This Row],[Total_Amount_30D]]&lt;50000,7,
tbl_Data2[[#This Row],[Total_Amount_30D]]&gt;=50000,9
)</f>
        <v>9</v>
      </c>
      <c r="N234" cm="1">
        <f t="array" ref="N234">_xlfn.IFS(
tbl_Data2[[#This Row],[Amount_Deviation]]&lt;1.5,2,
tbl_Data2[[#This Row],[Amount_Deviation]]&lt;3,6,
tbl_Data2[[#This Row],[Amount_Deviation]]&lt;6,8,
tbl_Data2[[#This Row],[Amount_Deviation]]&gt;=6,10
)</f>
        <v>8</v>
      </c>
      <c r="O234">
        <f>ROUND(
    (tbl_Data2[[#This Row],[Geo_Score]]*0.2) +
    (tbl_Data2[[#This Row],[Velocity_Score]]*0.25) +
    (tbl_Data2[[#This Row],[Volume_Score]]*0.25) +
    (tbl_Data2[[#This Row],[Deviation_Score]]*0.3),
1
)</f>
        <v>8.6999999999999993</v>
      </c>
      <c r="P234" t="str" cm="1">
        <f t="array" ref="P234">_xlfn.IFS(
tbl_Data2[[#This Row],[Final_Risk_Score]]&lt;5.5,"Low",
tbl_Data2[[#This Row],[Final_Risk_Score]]&lt;7.5,"Medium",
tbl_Data2[[#This Row],[Final_Risk_Score]]&gt;=7.5,"High"
)</f>
        <v>High</v>
      </c>
      <c r="Q234" t="str" cm="1">
        <f t="array" ref="Q234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235" spans="1:17" hidden="1">
      <c r="A235" t="str">
        <f>tbl_data[[#This Row],[Customer_ID]]</f>
        <v>CUST-234</v>
      </c>
      <c r="B235" t="str">
        <f>tbl_data[[#This Row],[Customer_Type]]</f>
        <v>Business</v>
      </c>
      <c r="C235" t="str">
        <f>tbl_data[[#This Row],[Country]]</f>
        <v>Panama</v>
      </c>
      <c r="D235" t="str">
        <f>tbl_data[[#This Row],[Industry]]</f>
        <v>IT Services</v>
      </c>
      <c r="E235">
        <f>tbl_data[[#This Row],[Tx_Count_30D]]</f>
        <v>40</v>
      </c>
      <c r="F235">
        <f>tbl_data[[#This Row],[Total_Amount_30D]]</f>
        <v>66424</v>
      </c>
      <c r="G235">
        <f>tbl_data[[#This Row],[Avg_Tx_Count_6M]]</f>
        <v>21</v>
      </c>
      <c r="H235">
        <f>tbl_data[[#This Row],[Avg_Total_Amount_6M]]</f>
        <v>20945</v>
      </c>
      <c r="I235">
        <f>IFERROR(tbl_Data2[[#This Row],[Tx_Count_30D]]/tbl_Data2[[#This Row],[Avg_Tx_Count_6M]],0)</f>
        <v>1.9047619047619047</v>
      </c>
      <c r="J235">
        <f>IFERROR(tbl_Data2[[#This Row],[Total_Amount_30D]]/tbl_Data2[[#This Row],[Avg_Total_Amount_6M]],0)</f>
        <v>3.1713535449988064</v>
      </c>
      <c r="K235">
        <f>_xlfn.XLOOKUP(tbl_Data2[[#This Row],[Country]], Geo_Map[Country], Geo_Map[Score], 5)</f>
        <v>8</v>
      </c>
      <c r="L235" cm="1">
        <f t="array" ref="L235">_xlfn.IFS(tbl_Data2[[#This Row],[Tx_Count_30D]]&lt;=5,2,tbl_Data2[[#This Row],[Tx_Count_30D]]&lt;=15,5,tbl_Data2[[#This Row],[Tx_Count_30D]]&lt;=30,7,tbl_Data2[[#This Row],[Tx_Count_30D]]&gt;30,9)</f>
        <v>9</v>
      </c>
      <c r="M235" cm="1">
        <f t="array" ref="M235">_xlfn.IFS(
tbl_Data2[[#This Row],[Total_Amount_30D]]&lt;10000,2,
tbl_Data2[[#This Row],[Total_Amount_30D]]&lt;25000,5,
tbl_Data2[[#This Row],[Total_Amount_30D]]&lt;50000,7,
tbl_Data2[[#This Row],[Total_Amount_30D]]&gt;=50000,9
)</f>
        <v>9</v>
      </c>
      <c r="N235" cm="1">
        <f t="array" ref="N235">_xlfn.IFS(
tbl_Data2[[#This Row],[Amount_Deviation]]&lt;1.5,2,
tbl_Data2[[#This Row],[Amount_Deviation]]&lt;3,6,
tbl_Data2[[#This Row],[Amount_Deviation]]&lt;6,8,
tbl_Data2[[#This Row],[Amount_Deviation]]&gt;=6,10
)</f>
        <v>8</v>
      </c>
      <c r="O235">
        <f>ROUND(
    (tbl_Data2[[#This Row],[Geo_Score]]*0.2) +
    (tbl_Data2[[#This Row],[Velocity_Score]]*0.25) +
    (tbl_Data2[[#This Row],[Volume_Score]]*0.25) +
    (tbl_Data2[[#This Row],[Deviation_Score]]*0.3),
1
)</f>
        <v>8.5</v>
      </c>
      <c r="P235" t="str" cm="1">
        <f t="array" ref="P235">_xlfn.IFS(
tbl_Data2[[#This Row],[Final_Risk_Score]]&lt;5.5,"Low",
tbl_Data2[[#This Row],[Final_Risk_Score]]&lt;7.5,"Medium",
tbl_Data2[[#This Row],[Final_Risk_Score]]&gt;=7.5,"High"
)</f>
        <v>High</v>
      </c>
      <c r="Q235" t="str" cm="1">
        <f t="array" ref="Q235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236" spans="1:17" hidden="1">
      <c r="A236" t="str">
        <f>tbl_data[[#This Row],[Customer_ID]]</f>
        <v>CUST-235</v>
      </c>
      <c r="B236" t="str">
        <f>tbl_data[[#This Row],[Customer_Type]]</f>
        <v>Business</v>
      </c>
      <c r="C236" t="str">
        <f>tbl_data[[#This Row],[Country]]</f>
        <v>Seychelles</v>
      </c>
      <c r="D236" t="str">
        <f>tbl_data[[#This Row],[Industry]]</f>
        <v>IT Services</v>
      </c>
      <c r="E236">
        <f>tbl_data[[#This Row],[Tx_Count_30D]]</f>
        <v>12</v>
      </c>
      <c r="F236">
        <f>tbl_data[[#This Row],[Total_Amount_30D]]</f>
        <v>13832</v>
      </c>
      <c r="G236">
        <f>tbl_data[[#This Row],[Avg_Tx_Count_6M]]</f>
        <v>38</v>
      </c>
      <c r="H236">
        <f>tbl_data[[#This Row],[Avg_Total_Amount_6M]]</f>
        <v>69323</v>
      </c>
      <c r="I236">
        <f>IFERROR(tbl_Data2[[#This Row],[Tx_Count_30D]]/tbl_Data2[[#This Row],[Avg_Tx_Count_6M]],0)</f>
        <v>0.31578947368421051</v>
      </c>
      <c r="J236">
        <f>IFERROR(tbl_Data2[[#This Row],[Total_Amount_30D]]/tbl_Data2[[#This Row],[Avg_Total_Amount_6M]],0)</f>
        <v>0.19952973760512385</v>
      </c>
      <c r="K236">
        <f>_xlfn.XLOOKUP(tbl_Data2[[#This Row],[Country]], Geo_Map[Country], Geo_Map[Score], 5)</f>
        <v>9</v>
      </c>
      <c r="L236" cm="1">
        <f t="array" ref="L236">_xlfn.IFS(tbl_Data2[[#This Row],[Tx_Count_30D]]&lt;=5,2,tbl_Data2[[#This Row],[Tx_Count_30D]]&lt;=15,5,tbl_Data2[[#This Row],[Tx_Count_30D]]&lt;=30,7,tbl_Data2[[#This Row],[Tx_Count_30D]]&gt;30,9)</f>
        <v>5</v>
      </c>
      <c r="M236" cm="1">
        <f t="array" ref="M236">_xlfn.IFS(
tbl_Data2[[#This Row],[Total_Amount_30D]]&lt;10000,2,
tbl_Data2[[#This Row],[Total_Amount_30D]]&lt;25000,5,
tbl_Data2[[#This Row],[Total_Amount_30D]]&lt;50000,7,
tbl_Data2[[#This Row],[Total_Amount_30D]]&gt;=50000,9
)</f>
        <v>5</v>
      </c>
      <c r="N236" cm="1">
        <f t="array" ref="N236">_xlfn.IFS(
tbl_Data2[[#This Row],[Amount_Deviation]]&lt;1.5,2,
tbl_Data2[[#This Row],[Amount_Deviation]]&lt;3,6,
tbl_Data2[[#This Row],[Amount_Deviation]]&lt;6,8,
tbl_Data2[[#This Row],[Amount_Deviation]]&gt;=6,10
)</f>
        <v>2</v>
      </c>
      <c r="O236">
        <f>ROUND(
    (tbl_Data2[[#This Row],[Geo_Score]]*0.2) +
    (tbl_Data2[[#This Row],[Velocity_Score]]*0.25) +
    (tbl_Data2[[#This Row],[Volume_Score]]*0.25) +
    (tbl_Data2[[#This Row],[Deviation_Score]]*0.3),
1
)</f>
        <v>4.9000000000000004</v>
      </c>
      <c r="P236" t="str" cm="1">
        <f t="array" ref="P236">_xlfn.IFS(
tbl_Data2[[#This Row],[Final_Risk_Score]]&lt;5.5,"Low",
tbl_Data2[[#This Row],[Final_Risk_Score]]&lt;7.5,"Medium",
tbl_Data2[[#This Row],[Final_Risk_Score]]&gt;=7.5,"High"
)</f>
        <v>Low</v>
      </c>
      <c r="Q236" t="str" cm="1">
        <f t="array" ref="Q236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237" spans="1:17">
      <c r="A237" t="str">
        <f>tbl_data[[#This Row],[Customer_ID]]</f>
        <v>CUST-236</v>
      </c>
      <c r="B237" t="str">
        <f>tbl_data[[#This Row],[Customer_Type]]</f>
        <v>Individual</v>
      </c>
      <c r="C237" t="str">
        <f>tbl_data[[#This Row],[Country]]</f>
        <v>Hong Kong</v>
      </c>
      <c r="D237" t="str">
        <f>tbl_data[[#This Row],[Industry]]</f>
        <v>Manufacturing</v>
      </c>
      <c r="E237">
        <f>tbl_data[[#This Row],[Tx_Count_30D]]</f>
        <v>33</v>
      </c>
      <c r="F237">
        <f>tbl_data[[#This Row],[Total_Amount_30D]]</f>
        <v>26367</v>
      </c>
      <c r="G237">
        <f>tbl_data[[#This Row],[Avg_Tx_Count_6M]]</f>
        <v>35</v>
      </c>
      <c r="H237">
        <f>tbl_data[[#This Row],[Avg_Total_Amount_6M]]</f>
        <v>49504</v>
      </c>
      <c r="I237">
        <f>IFERROR(tbl_Data2[[#This Row],[Tx_Count_30D]]/tbl_Data2[[#This Row],[Avg_Tx_Count_6M]],0)</f>
        <v>0.94285714285714284</v>
      </c>
      <c r="J237">
        <f>IFERROR(tbl_Data2[[#This Row],[Total_Amount_30D]]/tbl_Data2[[#This Row],[Avg_Total_Amount_6M]],0)</f>
        <v>0.53262362637362637</v>
      </c>
      <c r="K237">
        <f>_xlfn.XLOOKUP(tbl_Data2[[#This Row],[Country]], Geo_Map[Country], Geo_Map[Score], 5)</f>
        <v>6</v>
      </c>
      <c r="L237" cm="1">
        <f t="array" ref="L237">_xlfn.IFS(tbl_Data2[[#This Row],[Tx_Count_30D]]&lt;=5,2,tbl_Data2[[#This Row],[Tx_Count_30D]]&lt;=15,5,tbl_Data2[[#This Row],[Tx_Count_30D]]&lt;=30,7,tbl_Data2[[#This Row],[Tx_Count_30D]]&gt;30,9)</f>
        <v>9</v>
      </c>
      <c r="M237" cm="1">
        <f t="array" ref="M237">_xlfn.IFS(
tbl_Data2[[#This Row],[Total_Amount_30D]]&lt;10000,2,
tbl_Data2[[#This Row],[Total_Amount_30D]]&lt;25000,5,
tbl_Data2[[#This Row],[Total_Amount_30D]]&lt;50000,7,
tbl_Data2[[#This Row],[Total_Amount_30D]]&gt;=50000,9
)</f>
        <v>7</v>
      </c>
      <c r="N237" cm="1">
        <f t="array" ref="N237">_xlfn.IFS(
tbl_Data2[[#This Row],[Amount_Deviation]]&lt;1.5,2,
tbl_Data2[[#This Row],[Amount_Deviation]]&lt;3,6,
tbl_Data2[[#This Row],[Amount_Deviation]]&lt;6,8,
tbl_Data2[[#This Row],[Amount_Deviation]]&gt;=6,10
)</f>
        <v>2</v>
      </c>
      <c r="O237">
        <f>ROUND(
    (tbl_Data2[[#This Row],[Geo_Score]]*0.2) +
    (tbl_Data2[[#This Row],[Velocity_Score]]*0.25) +
    (tbl_Data2[[#This Row],[Volume_Score]]*0.25) +
    (tbl_Data2[[#This Row],[Deviation_Score]]*0.3),
1
)</f>
        <v>5.8</v>
      </c>
      <c r="P237" t="str" cm="1">
        <f t="array" ref="P237">_xlfn.IFS(
tbl_Data2[[#This Row],[Final_Risk_Score]]&lt;5.5,"Low",
tbl_Data2[[#This Row],[Final_Risk_Score]]&lt;7.5,"Medium",
tbl_Data2[[#This Row],[Final_Risk_Score]]&gt;=7.5,"High"
)</f>
        <v>Medium</v>
      </c>
      <c r="Q237" t="str" cm="1">
        <f t="array" ref="Q237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38" spans="1:17" hidden="1">
      <c r="A238" t="str">
        <f>tbl_data[[#This Row],[Customer_ID]]</f>
        <v>CUST-237</v>
      </c>
      <c r="B238" t="str">
        <f>tbl_data[[#This Row],[Customer_Type]]</f>
        <v>Individual</v>
      </c>
      <c r="C238" t="str">
        <f>tbl_data[[#This Row],[Country]]</f>
        <v>UAE</v>
      </c>
      <c r="D238" t="str">
        <f>tbl_data[[#This Row],[Industry]]</f>
        <v>Consulting</v>
      </c>
      <c r="E238">
        <f>tbl_data[[#This Row],[Tx_Count_30D]]</f>
        <v>31</v>
      </c>
      <c r="F238">
        <f>tbl_data[[#This Row],[Total_Amount_30D]]</f>
        <v>109402</v>
      </c>
      <c r="G238">
        <f>tbl_data[[#This Row],[Avg_Tx_Count_6M]]</f>
        <v>10</v>
      </c>
      <c r="H238">
        <f>tbl_data[[#This Row],[Avg_Total_Amount_6M]]</f>
        <v>51836</v>
      </c>
      <c r="I238">
        <f>IFERROR(tbl_Data2[[#This Row],[Tx_Count_30D]]/tbl_Data2[[#This Row],[Avg_Tx_Count_6M]],0)</f>
        <v>3.1</v>
      </c>
      <c r="J238">
        <f>IFERROR(tbl_Data2[[#This Row],[Total_Amount_30D]]/tbl_Data2[[#This Row],[Avg_Total_Amount_6M]],0)</f>
        <v>2.1105409368006791</v>
      </c>
      <c r="K238">
        <f>_xlfn.XLOOKUP(tbl_Data2[[#This Row],[Country]], Geo_Map[Country], Geo_Map[Score], 5)</f>
        <v>6</v>
      </c>
      <c r="L238" cm="1">
        <f t="array" ref="L238">_xlfn.IFS(tbl_Data2[[#This Row],[Tx_Count_30D]]&lt;=5,2,tbl_Data2[[#This Row],[Tx_Count_30D]]&lt;=15,5,tbl_Data2[[#This Row],[Tx_Count_30D]]&lt;=30,7,tbl_Data2[[#This Row],[Tx_Count_30D]]&gt;30,9)</f>
        <v>9</v>
      </c>
      <c r="M238" cm="1">
        <f t="array" ref="M238">_xlfn.IFS(
tbl_Data2[[#This Row],[Total_Amount_30D]]&lt;10000,2,
tbl_Data2[[#This Row],[Total_Amount_30D]]&lt;25000,5,
tbl_Data2[[#This Row],[Total_Amount_30D]]&lt;50000,7,
tbl_Data2[[#This Row],[Total_Amount_30D]]&gt;=50000,9
)</f>
        <v>9</v>
      </c>
      <c r="N238" cm="1">
        <f t="array" ref="N238">_xlfn.IFS(
tbl_Data2[[#This Row],[Amount_Deviation]]&lt;1.5,2,
tbl_Data2[[#This Row],[Amount_Deviation]]&lt;3,6,
tbl_Data2[[#This Row],[Amount_Deviation]]&lt;6,8,
tbl_Data2[[#This Row],[Amount_Deviation]]&gt;=6,10
)</f>
        <v>6</v>
      </c>
      <c r="O238">
        <f>ROUND(
    (tbl_Data2[[#This Row],[Geo_Score]]*0.2) +
    (tbl_Data2[[#This Row],[Velocity_Score]]*0.25) +
    (tbl_Data2[[#This Row],[Volume_Score]]*0.25) +
    (tbl_Data2[[#This Row],[Deviation_Score]]*0.3),
1
)</f>
        <v>7.5</v>
      </c>
      <c r="P238" t="str" cm="1">
        <f t="array" ref="P238">_xlfn.IFS(
tbl_Data2[[#This Row],[Final_Risk_Score]]&lt;5.5,"Low",
tbl_Data2[[#This Row],[Final_Risk_Score]]&lt;7.5,"Medium",
tbl_Data2[[#This Row],[Final_Risk_Score]]&gt;=7.5,"High"
)</f>
        <v>High</v>
      </c>
      <c r="Q238" t="str" cm="1">
        <f t="array" ref="Q238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239" spans="1:17" hidden="1">
      <c r="A239" t="str">
        <f>tbl_data[[#This Row],[Customer_ID]]</f>
        <v>CUST-238</v>
      </c>
      <c r="B239" t="str">
        <f>tbl_data[[#This Row],[Customer_Type]]</f>
        <v>Business</v>
      </c>
      <c r="C239" t="str">
        <f>tbl_data[[#This Row],[Country]]</f>
        <v>USA</v>
      </c>
      <c r="D239" t="str">
        <f>tbl_data[[#This Row],[Industry]]</f>
        <v>Consulting</v>
      </c>
      <c r="E239">
        <f>tbl_data[[#This Row],[Tx_Count_30D]]</f>
        <v>11</v>
      </c>
      <c r="F239">
        <f>tbl_data[[#This Row],[Total_Amount_30D]]</f>
        <v>114837</v>
      </c>
      <c r="G239">
        <f>tbl_data[[#This Row],[Avg_Tx_Count_6M]]</f>
        <v>8</v>
      </c>
      <c r="H239">
        <f>tbl_data[[#This Row],[Avg_Total_Amount_6M]]</f>
        <v>77893</v>
      </c>
      <c r="I239">
        <f>IFERROR(tbl_Data2[[#This Row],[Tx_Count_30D]]/tbl_Data2[[#This Row],[Avg_Tx_Count_6M]],0)</f>
        <v>1.375</v>
      </c>
      <c r="J239">
        <f>IFERROR(tbl_Data2[[#This Row],[Total_Amount_30D]]/tbl_Data2[[#This Row],[Avg_Total_Amount_6M]],0)</f>
        <v>1.4742916565031519</v>
      </c>
      <c r="K239">
        <f>_xlfn.XLOOKUP(tbl_Data2[[#This Row],[Country]], Geo_Map[Country], Geo_Map[Score], 5)</f>
        <v>1</v>
      </c>
      <c r="L239" cm="1">
        <f t="array" ref="L239">_xlfn.IFS(tbl_Data2[[#This Row],[Tx_Count_30D]]&lt;=5,2,tbl_Data2[[#This Row],[Tx_Count_30D]]&lt;=15,5,tbl_Data2[[#This Row],[Tx_Count_30D]]&lt;=30,7,tbl_Data2[[#This Row],[Tx_Count_30D]]&gt;30,9)</f>
        <v>5</v>
      </c>
      <c r="M239" cm="1">
        <f t="array" ref="M239">_xlfn.IFS(
tbl_Data2[[#This Row],[Total_Amount_30D]]&lt;10000,2,
tbl_Data2[[#This Row],[Total_Amount_30D]]&lt;25000,5,
tbl_Data2[[#This Row],[Total_Amount_30D]]&lt;50000,7,
tbl_Data2[[#This Row],[Total_Amount_30D]]&gt;=50000,9
)</f>
        <v>9</v>
      </c>
      <c r="N239" cm="1">
        <f t="array" ref="N239">_xlfn.IFS(
tbl_Data2[[#This Row],[Amount_Deviation]]&lt;1.5,2,
tbl_Data2[[#This Row],[Amount_Deviation]]&lt;3,6,
tbl_Data2[[#This Row],[Amount_Deviation]]&lt;6,8,
tbl_Data2[[#This Row],[Amount_Deviation]]&gt;=6,10
)</f>
        <v>2</v>
      </c>
      <c r="O239">
        <f>ROUND(
    (tbl_Data2[[#This Row],[Geo_Score]]*0.2) +
    (tbl_Data2[[#This Row],[Velocity_Score]]*0.25) +
    (tbl_Data2[[#This Row],[Volume_Score]]*0.25) +
    (tbl_Data2[[#This Row],[Deviation_Score]]*0.3),
1
)</f>
        <v>4.3</v>
      </c>
      <c r="P239" t="str" cm="1">
        <f t="array" ref="P239">_xlfn.IFS(
tbl_Data2[[#This Row],[Final_Risk_Score]]&lt;5.5,"Low",
tbl_Data2[[#This Row],[Final_Risk_Score]]&lt;7.5,"Medium",
tbl_Data2[[#This Row],[Final_Risk_Score]]&gt;=7.5,"High"
)</f>
        <v>Low</v>
      </c>
      <c r="Q239" t="str" cm="1">
        <f t="array" ref="Q239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240" spans="1:17" hidden="1">
      <c r="A240" t="str">
        <f>tbl_data[[#This Row],[Customer_ID]]</f>
        <v>CUST-239</v>
      </c>
      <c r="B240" t="str">
        <f>tbl_data[[#This Row],[Customer_Type]]</f>
        <v>Business</v>
      </c>
      <c r="C240" t="str">
        <f>tbl_data[[#This Row],[Country]]</f>
        <v>Seychelles</v>
      </c>
      <c r="D240" t="str">
        <f>tbl_data[[#This Row],[Industry]]</f>
        <v>Consulting</v>
      </c>
      <c r="E240">
        <f>tbl_data[[#This Row],[Tx_Count_30D]]</f>
        <v>29</v>
      </c>
      <c r="F240">
        <f>tbl_data[[#This Row],[Total_Amount_30D]]</f>
        <v>92715</v>
      </c>
      <c r="G240">
        <f>tbl_data[[#This Row],[Avg_Tx_Count_6M]]</f>
        <v>39</v>
      </c>
      <c r="H240">
        <f>tbl_data[[#This Row],[Avg_Total_Amount_6M]]</f>
        <v>2262</v>
      </c>
      <c r="I240">
        <f>IFERROR(tbl_Data2[[#This Row],[Tx_Count_30D]]/tbl_Data2[[#This Row],[Avg_Tx_Count_6M]],0)</f>
        <v>0.74358974358974361</v>
      </c>
      <c r="J240">
        <f>IFERROR(tbl_Data2[[#This Row],[Total_Amount_30D]]/tbl_Data2[[#This Row],[Avg_Total_Amount_6M]],0)</f>
        <v>40.988063660477451</v>
      </c>
      <c r="K240">
        <f>_xlfn.XLOOKUP(tbl_Data2[[#This Row],[Country]], Geo_Map[Country], Geo_Map[Score], 5)</f>
        <v>9</v>
      </c>
      <c r="L240" cm="1">
        <f t="array" ref="L240">_xlfn.IFS(tbl_Data2[[#This Row],[Tx_Count_30D]]&lt;=5,2,tbl_Data2[[#This Row],[Tx_Count_30D]]&lt;=15,5,tbl_Data2[[#This Row],[Tx_Count_30D]]&lt;=30,7,tbl_Data2[[#This Row],[Tx_Count_30D]]&gt;30,9)</f>
        <v>7</v>
      </c>
      <c r="M240" cm="1">
        <f t="array" ref="M240">_xlfn.IFS(
tbl_Data2[[#This Row],[Total_Amount_30D]]&lt;10000,2,
tbl_Data2[[#This Row],[Total_Amount_30D]]&lt;25000,5,
tbl_Data2[[#This Row],[Total_Amount_30D]]&lt;50000,7,
tbl_Data2[[#This Row],[Total_Amount_30D]]&gt;=50000,9
)</f>
        <v>9</v>
      </c>
      <c r="N240" cm="1">
        <f t="array" ref="N240">_xlfn.IFS(
tbl_Data2[[#This Row],[Amount_Deviation]]&lt;1.5,2,
tbl_Data2[[#This Row],[Amount_Deviation]]&lt;3,6,
tbl_Data2[[#This Row],[Amount_Deviation]]&lt;6,8,
tbl_Data2[[#This Row],[Amount_Deviation]]&gt;=6,10
)</f>
        <v>10</v>
      </c>
      <c r="O240">
        <f>ROUND(
    (tbl_Data2[[#This Row],[Geo_Score]]*0.2) +
    (tbl_Data2[[#This Row],[Velocity_Score]]*0.25) +
    (tbl_Data2[[#This Row],[Volume_Score]]*0.25) +
    (tbl_Data2[[#This Row],[Deviation_Score]]*0.3),
1
)</f>
        <v>8.8000000000000007</v>
      </c>
      <c r="P240" t="str" cm="1">
        <f t="array" ref="P240">_xlfn.IFS(
tbl_Data2[[#This Row],[Final_Risk_Score]]&lt;5.5,"Low",
tbl_Data2[[#This Row],[Final_Risk_Score]]&lt;7.5,"Medium",
tbl_Data2[[#This Row],[Final_Risk_Score]]&gt;=7.5,"High"
)</f>
        <v>High</v>
      </c>
      <c r="Q240" t="str" cm="1">
        <f t="array" ref="Q240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241" spans="1:17">
      <c r="A241" t="str">
        <f>tbl_data[[#This Row],[Customer_ID]]</f>
        <v>CUST-240</v>
      </c>
      <c r="B241" t="str">
        <f>tbl_data[[#This Row],[Customer_Type]]</f>
        <v>Business</v>
      </c>
      <c r="C241" t="str">
        <f>tbl_data[[#This Row],[Country]]</f>
        <v>BVI</v>
      </c>
      <c r="D241" t="str">
        <f>tbl_data[[#This Row],[Industry]]</f>
        <v>IT Services</v>
      </c>
      <c r="E241">
        <f>tbl_data[[#This Row],[Tx_Count_30D]]</f>
        <v>6</v>
      </c>
      <c r="F241">
        <f>tbl_data[[#This Row],[Total_Amount_30D]]</f>
        <v>87755</v>
      </c>
      <c r="G241">
        <f>tbl_data[[#This Row],[Avg_Tx_Count_6M]]</f>
        <v>22</v>
      </c>
      <c r="H241">
        <f>tbl_data[[#This Row],[Avg_Total_Amount_6M]]</f>
        <v>29300</v>
      </c>
      <c r="I241">
        <f>IFERROR(tbl_Data2[[#This Row],[Tx_Count_30D]]/tbl_Data2[[#This Row],[Avg_Tx_Count_6M]],0)</f>
        <v>0.27272727272727271</v>
      </c>
      <c r="J241">
        <f>IFERROR(tbl_Data2[[#This Row],[Total_Amount_30D]]/tbl_Data2[[#This Row],[Avg_Total_Amount_6M]],0)</f>
        <v>2.9950511945392493</v>
      </c>
      <c r="K241">
        <f>_xlfn.XLOOKUP(tbl_Data2[[#This Row],[Country]], Geo_Map[Country], Geo_Map[Score], 5)</f>
        <v>9</v>
      </c>
      <c r="L241" cm="1">
        <f t="array" ref="L241">_xlfn.IFS(tbl_Data2[[#This Row],[Tx_Count_30D]]&lt;=5,2,tbl_Data2[[#This Row],[Tx_Count_30D]]&lt;=15,5,tbl_Data2[[#This Row],[Tx_Count_30D]]&lt;=30,7,tbl_Data2[[#This Row],[Tx_Count_30D]]&gt;30,9)</f>
        <v>5</v>
      </c>
      <c r="M241" cm="1">
        <f t="array" ref="M241">_xlfn.IFS(
tbl_Data2[[#This Row],[Total_Amount_30D]]&lt;10000,2,
tbl_Data2[[#This Row],[Total_Amount_30D]]&lt;25000,5,
tbl_Data2[[#This Row],[Total_Amount_30D]]&lt;50000,7,
tbl_Data2[[#This Row],[Total_Amount_30D]]&gt;=50000,9
)</f>
        <v>9</v>
      </c>
      <c r="N241" cm="1">
        <f t="array" ref="N241">_xlfn.IFS(
tbl_Data2[[#This Row],[Amount_Deviation]]&lt;1.5,2,
tbl_Data2[[#This Row],[Amount_Deviation]]&lt;3,6,
tbl_Data2[[#This Row],[Amount_Deviation]]&lt;6,8,
tbl_Data2[[#This Row],[Amount_Deviation]]&gt;=6,10
)</f>
        <v>6</v>
      </c>
      <c r="O241">
        <f>ROUND(
    (tbl_Data2[[#This Row],[Geo_Score]]*0.2) +
    (tbl_Data2[[#This Row],[Velocity_Score]]*0.25) +
    (tbl_Data2[[#This Row],[Volume_Score]]*0.25) +
    (tbl_Data2[[#This Row],[Deviation_Score]]*0.3),
1
)</f>
        <v>7.1</v>
      </c>
      <c r="P241" t="str" cm="1">
        <f t="array" ref="P241">_xlfn.IFS(
tbl_Data2[[#This Row],[Final_Risk_Score]]&lt;5.5,"Low",
tbl_Data2[[#This Row],[Final_Risk_Score]]&lt;7.5,"Medium",
tbl_Data2[[#This Row],[Final_Risk_Score]]&gt;=7.5,"High"
)</f>
        <v>Medium</v>
      </c>
      <c r="Q241" t="str" cm="1">
        <f t="array" ref="Q241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42" spans="1:17">
      <c r="A242" t="str">
        <f>tbl_data[[#This Row],[Customer_ID]]</f>
        <v>CUST-241</v>
      </c>
      <c r="B242" t="str">
        <f>tbl_data[[#This Row],[Customer_Type]]</f>
        <v>Business</v>
      </c>
      <c r="C242" t="str">
        <f>tbl_data[[#This Row],[Country]]</f>
        <v>Hong Kong</v>
      </c>
      <c r="D242" t="str">
        <f>tbl_data[[#This Row],[Industry]]</f>
        <v>Import/Export</v>
      </c>
      <c r="E242">
        <f>tbl_data[[#This Row],[Tx_Count_30D]]</f>
        <v>9</v>
      </c>
      <c r="F242">
        <f>tbl_data[[#This Row],[Total_Amount_30D]]</f>
        <v>91903</v>
      </c>
      <c r="G242">
        <f>tbl_data[[#This Row],[Avg_Tx_Count_6M]]</f>
        <v>5</v>
      </c>
      <c r="H242">
        <f>tbl_data[[#This Row],[Avg_Total_Amount_6M]]</f>
        <v>40588</v>
      </c>
      <c r="I242">
        <f>IFERROR(tbl_Data2[[#This Row],[Tx_Count_30D]]/tbl_Data2[[#This Row],[Avg_Tx_Count_6M]],0)</f>
        <v>1.8</v>
      </c>
      <c r="J242">
        <f>IFERROR(tbl_Data2[[#This Row],[Total_Amount_30D]]/tbl_Data2[[#This Row],[Avg_Total_Amount_6M]],0)</f>
        <v>2.2642899379126837</v>
      </c>
      <c r="K242">
        <f>_xlfn.XLOOKUP(tbl_Data2[[#This Row],[Country]], Geo_Map[Country], Geo_Map[Score], 5)</f>
        <v>6</v>
      </c>
      <c r="L242" cm="1">
        <f t="array" ref="L242">_xlfn.IFS(tbl_Data2[[#This Row],[Tx_Count_30D]]&lt;=5,2,tbl_Data2[[#This Row],[Tx_Count_30D]]&lt;=15,5,tbl_Data2[[#This Row],[Tx_Count_30D]]&lt;=30,7,tbl_Data2[[#This Row],[Tx_Count_30D]]&gt;30,9)</f>
        <v>5</v>
      </c>
      <c r="M242" cm="1">
        <f t="array" ref="M242">_xlfn.IFS(
tbl_Data2[[#This Row],[Total_Amount_30D]]&lt;10000,2,
tbl_Data2[[#This Row],[Total_Amount_30D]]&lt;25000,5,
tbl_Data2[[#This Row],[Total_Amount_30D]]&lt;50000,7,
tbl_Data2[[#This Row],[Total_Amount_30D]]&gt;=50000,9
)</f>
        <v>9</v>
      </c>
      <c r="N242" cm="1">
        <f t="array" ref="N242">_xlfn.IFS(
tbl_Data2[[#This Row],[Amount_Deviation]]&lt;1.5,2,
tbl_Data2[[#This Row],[Amount_Deviation]]&lt;3,6,
tbl_Data2[[#This Row],[Amount_Deviation]]&lt;6,8,
tbl_Data2[[#This Row],[Amount_Deviation]]&gt;=6,10
)</f>
        <v>6</v>
      </c>
      <c r="O242">
        <f>ROUND(
    (tbl_Data2[[#This Row],[Geo_Score]]*0.2) +
    (tbl_Data2[[#This Row],[Velocity_Score]]*0.25) +
    (tbl_Data2[[#This Row],[Volume_Score]]*0.25) +
    (tbl_Data2[[#This Row],[Deviation_Score]]*0.3),
1
)</f>
        <v>6.5</v>
      </c>
      <c r="P242" t="str" cm="1">
        <f t="array" ref="P242">_xlfn.IFS(
tbl_Data2[[#This Row],[Final_Risk_Score]]&lt;5.5,"Low",
tbl_Data2[[#This Row],[Final_Risk_Score]]&lt;7.5,"Medium",
tbl_Data2[[#This Row],[Final_Risk_Score]]&gt;=7.5,"High"
)</f>
        <v>Medium</v>
      </c>
      <c r="Q242" t="str" cm="1">
        <f t="array" ref="Q242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43" spans="1:17">
      <c r="A243" t="str">
        <f>tbl_data[[#This Row],[Customer_ID]]</f>
        <v>CUST-242</v>
      </c>
      <c r="B243" t="str">
        <f>tbl_data[[#This Row],[Customer_Type]]</f>
        <v>Business</v>
      </c>
      <c r="C243" t="str">
        <f>tbl_data[[#This Row],[Country]]</f>
        <v>Seychelles</v>
      </c>
      <c r="D243" t="str">
        <f>tbl_data[[#This Row],[Industry]]</f>
        <v>Logistics</v>
      </c>
      <c r="E243">
        <f>tbl_data[[#This Row],[Tx_Count_30D]]</f>
        <v>53</v>
      </c>
      <c r="F243">
        <f>tbl_data[[#This Row],[Total_Amount_30D]]</f>
        <v>15145</v>
      </c>
      <c r="G243">
        <f>tbl_data[[#This Row],[Avg_Tx_Count_6M]]</f>
        <v>14</v>
      </c>
      <c r="H243">
        <f>tbl_data[[#This Row],[Avg_Total_Amount_6M]]</f>
        <v>48786</v>
      </c>
      <c r="I243">
        <f>IFERROR(tbl_Data2[[#This Row],[Tx_Count_30D]]/tbl_Data2[[#This Row],[Avg_Tx_Count_6M]],0)</f>
        <v>3.7857142857142856</v>
      </c>
      <c r="J243">
        <f>IFERROR(tbl_Data2[[#This Row],[Total_Amount_30D]]/tbl_Data2[[#This Row],[Avg_Total_Amount_6M]],0)</f>
        <v>0.31043742057147544</v>
      </c>
      <c r="K243">
        <f>_xlfn.XLOOKUP(tbl_Data2[[#This Row],[Country]], Geo_Map[Country], Geo_Map[Score], 5)</f>
        <v>9</v>
      </c>
      <c r="L243" cm="1">
        <f t="array" ref="L243">_xlfn.IFS(tbl_Data2[[#This Row],[Tx_Count_30D]]&lt;=5,2,tbl_Data2[[#This Row],[Tx_Count_30D]]&lt;=15,5,tbl_Data2[[#This Row],[Tx_Count_30D]]&lt;=30,7,tbl_Data2[[#This Row],[Tx_Count_30D]]&gt;30,9)</f>
        <v>9</v>
      </c>
      <c r="M243" cm="1">
        <f t="array" ref="M243">_xlfn.IFS(
tbl_Data2[[#This Row],[Total_Amount_30D]]&lt;10000,2,
tbl_Data2[[#This Row],[Total_Amount_30D]]&lt;25000,5,
tbl_Data2[[#This Row],[Total_Amount_30D]]&lt;50000,7,
tbl_Data2[[#This Row],[Total_Amount_30D]]&gt;=50000,9
)</f>
        <v>5</v>
      </c>
      <c r="N243" cm="1">
        <f t="array" ref="N243">_xlfn.IFS(
tbl_Data2[[#This Row],[Amount_Deviation]]&lt;1.5,2,
tbl_Data2[[#This Row],[Amount_Deviation]]&lt;3,6,
tbl_Data2[[#This Row],[Amount_Deviation]]&lt;6,8,
tbl_Data2[[#This Row],[Amount_Deviation]]&gt;=6,10
)</f>
        <v>2</v>
      </c>
      <c r="O243">
        <f>ROUND(
    (tbl_Data2[[#This Row],[Geo_Score]]*0.2) +
    (tbl_Data2[[#This Row],[Velocity_Score]]*0.25) +
    (tbl_Data2[[#This Row],[Volume_Score]]*0.25) +
    (tbl_Data2[[#This Row],[Deviation_Score]]*0.3),
1
)</f>
        <v>5.9</v>
      </c>
      <c r="P243" t="str" cm="1">
        <f t="array" ref="P243">_xlfn.IFS(
tbl_Data2[[#This Row],[Final_Risk_Score]]&lt;5.5,"Low",
tbl_Data2[[#This Row],[Final_Risk_Score]]&lt;7.5,"Medium",
tbl_Data2[[#This Row],[Final_Risk_Score]]&gt;=7.5,"High"
)</f>
        <v>Medium</v>
      </c>
      <c r="Q243" t="str" cm="1">
        <f t="array" ref="Q243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44" spans="1:17" hidden="1">
      <c r="A244" t="str">
        <f>tbl_data[[#This Row],[Customer_ID]]</f>
        <v>CUST-243</v>
      </c>
      <c r="B244" t="str">
        <f>tbl_data[[#This Row],[Customer_Type]]</f>
        <v>Business</v>
      </c>
      <c r="C244" t="str">
        <f>tbl_data[[#This Row],[Country]]</f>
        <v>BVI</v>
      </c>
      <c r="D244" t="str">
        <f>tbl_data[[#This Row],[Industry]]</f>
        <v>Logistics</v>
      </c>
      <c r="E244">
        <f>tbl_data[[#This Row],[Tx_Count_30D]]</f>
        <v>50</v>
      </c>
      <c r="F244">
        <f>tbl_data[[#This Row],[Total_Amount_30D]]</f>
        <v>73124</v>
      </c>
      <c r="G244">
        <f>tbl_data[[#This Row],[Avg_Tx_Count_6M]]</f>
        <v>29</v>
      </c>
      <c r="H244">
        <f>tbl_data[[#This Row],[Avg_Total_Amount_6M]]</f>
        <v>17855</v>
      </c>
      <c r="I244">
        <f>IFERROR(tbl_Data2[[#This Row],[Tx_Count_30D]]/tbl_Data2[[#This Row],[Avg_Tx_Count_6M]],0)</f>
        <v>1.7241379310344827</v>
      </c>
      <c r="J244">
        <f>IFERROR(tbl_Data2[[#This Row],[Total_Amount_30D]]/tbl_Data2[[#This Row],[Avg_Total_Amount_6M]],0)</f>
        <v>4.0954354522542706</v>
      </c>
      <c r="K244">
        <f>_xlfn.XLOOKUP(tbl_Data2[[#This Row],[Country]], Geo_Map[Country], Geo_Map[Score], 5)</f>
        <v>9</v>
      </c>
      <c r="L244" cm="1">
        <f t="array" ref="L244">_xlfn.IFS(tbl_Data2[[#This Row],[Tx_Count_30D]]&lt;=5,2,tbl_Data2[[#This Row],[Tx_Count_30D]]&lt;=15,5,tbl_Data2[[#This Row],[Tx_Count_30D]]&lt;=30,7,tbl_Data2[[#This Row],[Tx_Count_30D]]&gt;30,9)</f>
        <v>9</v>
      </c>
      <c r="M244" cm="1">
        <f t="array" ref="M244">_xlfn.IFS(
tbl_Data2[[#This Row],[Total_Amount_30D]]&lt;10000,2,
tbl_Data2[[#This Row],[Total_Amount_30D]]&lt;25000,5,
tbl_Data2[[#This Row],[Total_Amount_30D]]&lt;50000,7,
tbl_Data2[[#This Row],[Total_Amount_30D]]&gt;=50000,9
)</f>
        <v>9</v>
      </c>
      <c r="N244" cm="1">
        <f t="array" ref="N244">_xlfn.IFS(
tbl_Data2[[#This Row],[Amount_Deviation]]&lt;1.5,2,
tbl_Data2[[#This Row],[Amount_Deviation]]&lt;3,6,
tbl_Data2[[#This Row],[Amount_Deviation]]&lt;6,8,
tbl_Data2[[#This Row],[Amount_Deviation]]&gt;=6,10
)</f>
        <v>8</v>
      </c>
      <c r="O244">
        <f>ROUND(
    (tbl_Data2[[#This Row],[Geo_Score]]*0.2) +
    (tbl_Data2[[#This Row],[Velocity_Score]]*0.25) +
    (tbl_Data2[[#This Row],[Volume_Score]]*0.25) +
    (tbl_Data2[[#This Row],[Deviation_Score]]*0.3),
1
)</f>
        <v>8.6999999999999993</v>
      </c>
      <c r="P244" t="str" cm="1">
        <f t="array" ref="P244">_xlfn.IFS(
tbl_Data2[[#This Row],[Final_Risk_Score]]&lt;5.5,"Low",
tbl_Data2[[#This Row],[Final_Risk_Score]]&lt;7.5,"Medium",
tbl_Data2[[#This Row],[Final_Risk_Score]]&gt;=7.5,"High"
)</f>
        <v>High</v>
      </c>
      <c r="Q244" t="str" cm="1">
        <f t="array" ref="Q244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245" spans="1:17" hidden="1">
      <c r="A245" t="str">
        <f>tbl_data[[#This Row],[Customer_ID]]</f>
        <v>CUST-244</v>
      </c>
      <c r="B245" t="str">
        <f>tbl_data[[#This Row],[Customer_Type]]</f>
        <v>Individual</v>
      </c>
      <c r="C245" t="str">
        <f>tbl_data[[#This Row],[Country]]</f>
        <v>BVI</v>
      </c>
      <c r="D245" t="str">
        <f>tbl_data[[#This Row],[Industry]]</f>
        <v>Manufacturing</v>
      </c>
      <c r="E245">
        <f>tbl_data[[#This Row],[Tx_Count_30D]]</f>
        <v>48</v>
      </c>
      <c r="F245">
        <f>tbl_data[[#This Row],[Total_Amount_30D]]</f>
        <v>113205</v>
      </c>
      <c r="G245">
        <f>tbl_data[[#This Row],[Avg_Tx_Count_6M]]</f>
        <v>33</v>
      </c>
      <c r="H245">
        <f>tbl_data[[#This Row],[Avg_Total_Amount_6M]]</f>
        <v>21790</v>
      </c>
      <c r="I245">
        <f>IFERROR(tbl_Data2[[#This Row],[Tx_Count_30D]]/tbl_Data2[[#This Row],[Avg_Tx_Count_6M]],0)</f>
        <v>1.4545454545454546</v>
      </c>
      <c r="J245">
        <f>IFERROR(tbl_Data2[[#This Row],[Total_Amount_30D]]/tbl_Data2[[#This Row],[Avg_Total_Amount_6M]],0)</f>
        <v>5.1952730610371729</v>
      </c>
      <c r="K245">
        <f>_xlfn.XLOOKUP(tbl_Data2[[#This Row],[Country]], Geo_Map[Country], Geo_Map[Score], 5)</f>
        <v>9</v>
      </c>
      <c r="L245" cm="1">
        <f t="array" ref="L245">_xlfn.IFS(tbl_Data2[[#This Row],[Tx_Count_30D]]&lt;=5,2,tbl_Data2[[#This Row],[Tx_Count_30D]]&lt;=15,5,tbl_Data2[[#This Row],[Tx_Count_30D]]&lt;=30,7,tbl_Data2[[#This Row],[Tx_Count_30D]]&gt;30,9)</f>
        <v>9</v>
      </c>
      <c r="M245" cm="1">
        <f t="array" ref="M245">_xlfn.IFS(
tbl_Data2[[#This Row],[Total_Amount_30D]]&lt;10000,2,
tbl_Data2[[#This Row],[Total_Amount_30D]]&lt;25000,5,
tbl_Data2[[#This Row],[Total_Amount_30D]]&lt;50000,7,
tbl_Data2[[#This Row],[Total_Amount_30D]]&gt;=50000,9
)</f>
        <v>9</v>
      </c>
      <c r="N245" cm="1">
        <f t="array" ref="N245">_xlfn.IFS(
tbl_Data2[[#This Row],[Amount_Deviation]]&lt;1.5,2,
tbl_Data2[[#This Row],[Amount_Deviation]]&lt;3,6,
tbl_Data2[[#This Row],[Amount_Deviation]]&lt;6,8,
tbl_Data2[[#This Row],[Amount_Deviation]]&gt;=6,10
)</f>
        <v>8</v>
      </c>
      <c r="O245">
        <f>ROUND(
    (tbl_Data2[[#This Row],[Geo_Score]]*0.2) +
    (tbl_Data2[[#This Row],[Velocity_Score]]*0.25) +
    (tbl_Data2[[#This Row],[Volume_Score]]*0.25) +
    (tbl_Data2[[#This Row],[Deviation_Score]]*0.3),
1
)</f>
        <v>8.6999999999999993</v>
      </c>
      <c r="P245" t="str" cm="1">
        <f t="array" ref="P245">_xlfn.IFS(
tbl_Data2[[#This Row],[Final_Risk_Score]]&lt;5.5,"Low",
tbl_Data2[[#This Row],[Final_Risk_Score]]&lt;7.5,"Medium",
tbl_Data2[[#This Row],[Final_Risk_Score]]&gt;=7.5,"High"
)</f>
        <v>High</v>
      </c>
      <c r="Q245" t="str" cm="1">
        <f t="array" ref="Q245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246" spans="1:17">
      <c r="A246" t="str">
        <f>tbl_data[[#This Row],[Customer_ID]]</f>
        <v>CUST-245</v>
      </c>
      <c r="B246" t="str">
        <f>tbl_data[[#This Row],[Customer_Type]]</f>
        <v>Business</v>
      </c>
      <c r="C246" t="str">
        <f>tbl_data[[#This Row],[Country]]</f>
        <v>Panama</v>
      </c>
      <c r="D246" t="str">
        <f>tbl_data[[#This Row],[Industry]]</f>
        <v>Logistics</v>
      </c>
      <c r="E246">
        <f>tbl_data[[#This Row],[Tx_Count_30D]]</f>
        <v>14</v>
      </c>
      <c r="F246">
        <f>tbl_data[[#This Row],[Total_Amount_30D]]</f>
        <v>61515</v>
      </c>
      <c r="G246">
        <f>tbl_data[[#This Row],[Avg_Tx_Count_6M]]</f>
        <v>18</v>
      </c>
      <c r="H246">
        <f>tbl_data[[#This Row],[Avg_Total_Amount_6M]]</f>
        <v>54929</v>
      </c>
      <c r="I246">
        <f>IFERROR(tbl_Data2[[#This Row],[Tx_Count_30D]]/tbl_Data2[[#This Row],[Avg_Tx_Count_6M]],0)</f>
        <v>0.77777777777777779</v>
      </c>
      <c r="J246">
        <f>IFERROR(tbl_Data2[[#This Row],[Total_Amount_30D]]/tbl_Data2[[#This Row],[Avg_Total_Amount_6M]],0)</f>
        <v>1.1199002348486227</v>
      </c>
      <c r="K246">
        <f>_xlfn.XLOOKUP(tbl_Data2[[#This Row],[Country]], Geo_Map[Country], Geo_Map[Score], 5)</f>
        <v>8</v>
      </c>
      <c r="L246" cm="1">
        <f t="array" ref="L246">_xlfn.IFS(tbl_Data2[[#This Row],[Tx_Count_30D]]&lt;=5,2,tbl_Data2[[#This Row],[Tx_Count_30D]]&lt;=15,5,tbl_Data2[[#This Row],[Tx_Count_30D]]&lt;=30,7,tbl_Data2[[#This Row],[Tx_Count_30D]]&gt;30,9)</f>
        <v>5</v>
      </c>
      <c r="M246" cm="1">
        <f t="array" ref="M246">_xlfn.IFS(
tbl_Data2[[#This Row],[Total_Amount_30D]]&lt;10000,2,
tbl_Data2[[#This Row],[Total_Amount_30D]]&lt;25000,5,
tbl_Data2[[#This Row],[Total_Amount_30D]]&lt;50000,7,
tbl_Data2[[#This Row],[Total_Amount_30D]]&gt;=50000,9
)</f>
        <v>9</v>
      </c>
      <c r="N246" cm="1">
        <f t="array" ref="N246">_xlfn.IFS(
tbl_Data2[[#This Row],[Amount_Deviation]]&lt;1.5,2,
tbl_Data2[[#This Row],[Amount_Deviation]]&lt;3,6,
tbl_Data2[[#This Row],[Amount_Deviation]]&lt;6,8,
tbl_Data2[[#This Row],[Amount_Deviation]]&gt;=6,10
)</f>
        <v>2</v>
      </c>
      <c r="O246">
        <f>ROUND(
    (tbl_Data2[[#This Row],[Geo_Score]]*0.2) +
    (tbl_Data2[[#This Row],[Velocity_Score]]*0.25) +
    (tbl_Data2[[#This Row],[Volume_Score]]*0.25) +
    (tbl_Data2[[#This Row],[Deviation_Score]]*0.3),
1
)</f>
        <v>5.7</v>
      </c>
      <c r="P246" t="str" cm="1">
        <f t="array" ref="P246">_xlfn.IFS(
tbl_Data2[[#This Row],[Final_Risk_Score]]&lt;5.5,"Low",
tbl_Data2[[#This Row],[Final_Risk_Score]]&lt;7.5,"Medium",
tbl_Data2[[#This Row],[Final_Risk_Score]]&gt;=7.5,"High"
)</f>
        <v>Medium</v>
      </c>
      <c r="Q246" t="str" cm="1">
        <f t="array" ref="Q246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47" spans="1:17">
      <c r="A247" t="str">
        <f>tbl_data[[#This Row],[Customer_ID]]</f>
        <v>CUST-246</v>
      </c>
      <c r="B247" t="str">
        <f>tbl_data[[#This Row],[Customer_Type]]</f>
        <v>Business</v>
      </c>
      <c r="C247" t="str">
        <f>tbl_data[[#This Row],[Country]]</f>
        <v>BVI</v>
      </c>
      <c r="D247" t="str">
        <f>tbl_data[[#This Row],[Industry]]</f>
        <v>IT Services</v>
      </c>
      <c r="E247">
        <f>tbl_data[[#This Row],[Tx_Count_30D]]</f>
        <v>58</v>
      </c>
      <c r="F247">
        <f>tbl_data[[#This Row],[Total_Amount_30D]]</f>
        <v>16887</v>
      </c>
      <c r="G247">
        <f>tbl_data[[#This Row],[Avg_Tx_Count_6M]]</f>
        <v>13</v>
      </c>
      <c r="H247">
        <f>tbl_data[[#This Row],[Avg_Total_Amount_6M]]</f>
        <v>45608</v>
      </c>
      <c r="I247">
        <f>IFERROR(tbl_Data2[[#This Row],[Tx_Count_30D]]/tbl_Data2[[#This Row],[Avg_Tx_Count_6M]],0)</f>
        <v>4.4615384615384617</v>
      </c>
      <c r="J247">
        <f>IFERROR(tbl_Data2[[#This Row],[Total_Amount_30D]]/tbl_Data2[[#This Row],[Avg_Total_Amount_6M]],0)</f>
        <v>0.37026398877389932</v>
      </c>
      <c r="K247">
        <f>_xlfn.XLOOKUP(tbl_Data2[[#This Row],[Country]], Geo_Map[Country], Geo_Map[Score], 5)</f>
        <v>9</v>
      </c>
      <c r="L247" cm="1">
        <f t="array" ref="L247">_xlfn.IFS(tbl_Data2[[#This Row],[Tx_Count_30D]]&lt;=5,2,tbl_Data2[[#This Row],[Tx_Count_30D]]&lt;=15,5,tbl_Data2[[#This Row],[Tx_Count_30D]]&lt;=30,7,tbl_Data2[[#This Row],[Tx_Count_30D]]&gt;30,9)</f>
        <v>9</v>
      </c>
      <c r="M247" cm="1">
        <f t="array" ref="M247">_xlfn.IFS(
tbl_Data2[[#This Row],[Total_Amount_30D]]&lt;10000,2,
tbl_Data2[[#This Row],[Total_Amount_30D]]&lt;25000,5,
tbl_Data2[[#This Row],[Total_Amount_30D]]&lt;50000,7,
tbl_Data2[[#This Row],[Total_Amount_30D]]&gt;=50000,9
)</f>
        <v>5</v>
      </c>
      <c r="N247" cm="1">
        <f t="array" ref="N247">_xlfn.IFS(
tbl_Data2[[#This Row],[Amount_Deviation]]&lt;1.5,2,
tbl_Data2[[#This Row],[Amount_Deviation]]&lt;3,6,
tbl_Data2[[#This Row],[Amount_Deviation]]&lt;6,8,
tbl_Data2[[#This Row],[Amount_Deviation]]&gt;=6,10
)</f>
        <v>2</v>
      </c>
      <c r="O247">
        <f>ROUND(
    (tbl_Data2[[#This Row],[Geo_Score]]*0.2) +
    (tbl_Data2[[#This Row],[Velocity_Score]]*0.25) +
    (tbl_Data2[[#This Row],[Volume_Score]]*0.25) +
    (tbl_Data2[[#This Row],[Deviation_Score]]*0.3),
1
)</f>
        <v>5.9</v>
      </c>
      <c r="P247" t="str" cm="1">
        <f t="array" ref="P247">_xlfn.IFS(
tbl_Data2[[#This Row],[Final_Risk_Score]]&lt;5.5,"Low",
tbl_Data2[[#This Row],[Final_Risk_Score]]&lt;7.5,"Medium",
tbl_Data2[[#This Row],[Final_Risk_Score]]&gt;=7.5,"High"
)</f>
        <v>Medium</v>
      </c>
      <c r="Q247" t="str" cm="1">
        <f t="array" ref="Q247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48" spans="1:17" hidden="1">
      <c r="A248" t="str">
        <f>tbl_data[[#This Row],[Customer_ID]]</f>
        <v>CUST-247</v>
      </c>
      <c r="B248" t="str">
        <f>tbl_data[[#This Row],[Customer_Type]]</f>
        <v>Business</v>
      </c>
      <c r="C248" t="str">
        <f>tbl_data[[#This Row],[Country]]</f>
        <v>Panama</v>
      </c>
      <c r="D248" t="str">
        <f>tbl_data[[#This Row],[Industry]]</f>
        <v>Logistics</v>
      </c>
      <c r="E248">
        <f>tbl_data[[#This Row],[Tx_Count_30D]]</f>
        <v>35</v>
      </c>
      <c r="F248">
        <f>tbl_data[[#This Row],[Total_Amount_30D]]</f>
        <v>5314</v>
      </c>
      <c r="G248">
        <f>tbl_data[[#This Row],[Avg_Tx_Count_6M]]</f>
        <v>25</v>
      </c>
      <c r="H248">
        <f>tbl_data[[#This Row],[Avg_Total_Amount_6M]]</f>
        <v>67830</v>
      </c>
      <c r="I248">
        <f>IFERROR(tbl_Data2[[#This Row],[Tx_Count_30D]]/tbl_Data2[[#This Row],[Avg_Tx_Count_6M]],0)</f>
        <v>1.4</v>
      </c>
      <c r="J248">
        <f>IFERROR(tbl_Data2[[#This Row],[Total_Amount_30D]]/tbl_Data2[[#This Row],[Avg_Total_Amount_6M]],0)</f>
        <v>7.8342916113813943E-2</v>
      </c>
      <c r="K248">
        <f>_xlfn.XLOOKUP(tbl_Data2[[#This Row],[Country]], Geo_Map[Country], Geo_Map[Score], 5)</f>
        <v>8</v>
      </c>
      <c r="L248" cm="1">
        <f t="array" ref="L248">_xlfn.IFS(tbl_Data2[[#This Row],[Tx_Count_30D]]&lt;=5,2,tbl_Data2[[#This Row],[Tx_Count_30D]]&lt;=15,5,tbl_Data2[[#This Row],[Tx_Count_30D]]&lt;=30,7,tbl_Data2[[#This Row],[Tx_Count_30D]]&gt;30,9)</f>
        <v>9</v>
      </c>
      <c r="M248" cm="1">
        <f t="array" ref="M248">_xlfn.IFS(
tbl_Data2[[#This Row],[Total_Amount_30D]]&lt;10000,2,
tbl_Data2[[#This Row],[Total_Amount_30D]]&lt;25000,5,
tbl_Data2[[#This Row],[Total_Amount_30D]]&lt;50000,7,
tbl_Data2[[#This Row],[Total_Amount_30D]]&gt;=50000,9
)</f>
        <v>2</v>
      </c>
      <c r="N248" cm="1">
        <f t="array" ref="N248">_xlfn.IFS(
tbl_Data2[[#This Row],[Amount_Deviation]]&lt;1.5,2,
tbl_Data2[[#This Row],[Amount_Deviation]]&lt;3,6,
tbl_Data2[[#This Row],[Amount_Deviation]]&lt;6,8,
tbl_Data2[[#This Row],[Amount_Deviation]]&gt;=6,10
)</f>
        <v>2</v>
      </c>
      <c r="O248">
        <f>ROUND(
    (tbl_Data2[[#This Row],[Geo_Score]]*0.2) +
    (tbl_Data2[[#This Row],[Velocity_Score]]*0.25) +
    (tbl_Data2[[#This Row],[Volume_Score]]*0.25) +
    (tbl_Data2[[#This Row],[Deviation_Score]]*0.3),
1
)</f>
        <v>5</v>
      </c>
      <c r="P248" t="str" cm="1">
        <f t="array" ref="P248">_xlfn.IFS(
tbl_Data2[[#This Row],[Final_Risk_Score]]&lt;5.5,"Low",
tbl_Data2[[#This Row],[Final_Risk_Score]]&lt;7.5,"Medium",
tbl_Data2[[#This Row],[Final_Risk_Score]]&gt;=7.5,"High"
)</f>
        <v>Low</v>
      </c>
      <c r="Q248" t="str" cm="1">
        <f t="array" ref="Q248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249" spans="1:17" hidden="1">
      <c r="A249" t="str">
        <f>tbl_data[[#This Row],[Customer_ID]]</f>
        <v>CUST-248</v>
      </c>
      <c r="B249" t="str">
        <f>tbl_data[[#This Row],[Customer_Type]]</f>
        <v>Business</v>
      </c>
      <c r="C249" t="str">
        <f>tbl_data[[#This Row],[Country]]</f>
        <v>Cyprus</v>
      </c>
      <c r="D249" t="str">
        <f>tbl_data[[#This Row],[Industry]]</f>
        <v>Manufacturing</v>
      </c>
      <c r="E249">
        <f>tbl_data[[#This Row],[Tx_Count_30D]]</f>
        <v>31</v>
      </c>
      <c r="F249">
        <f>tbl_data[[#This Row],[Total_Amount_30D]]</f>
        <v>80515</v>
      </c>
      <c r="G249">
        <f>tbl_data[[#This Row],[Avg_Tx_Count_6M]]</f>
        <v>34</v>
      </c>
      <c r="H249">
        <f>tbl_data[[#This Row],[Avg_Total_Amount_6M]]</f>
        <v>43536</v>
      </c>
      <c r="I249">
        <f>IFERROR(tbl_Data2[[#This Row],[Tx_Count_30D]]/tbl_Data2[[#This Row],[Avg_Tx_Count_6M]],0)</f>
        <v>0.91176470588235292</v>
      </c>
      <c r="J249">
        <f>IFERROR(tbl_Data2[[#This Row],[Total_Amount_30D]]/tbl_Data2[[#This Row],[Avg_Total_Amount_6M]],0)</f>
        <v>1.8493890113928704</v>
      </c>
      <c r="K249">
        <f>_xlfn.XLOOKUP(tbl_Data2[[#This Row],[Country]], Geo_Map[Country], Geo_Map[Score], 5)</f>
        <v>7</v>
      </c>
      <c r="L249" cm="1">
        <f t="array" ref="L249">_xlfn.IFS(tbl_Data2[[#This Row],[Tx_Count_30D]]&lt;=5,2,tbl_Data2[[#This Row],[Tx_Count_30D]]&lt;=15,5,tbl_Data2[[#This Row],[Tx_Count_30D]]&lt;=30,7,tbl_Data2[[#This Row],[Tx_Count_30D]]&gt;30,9)</f>
        <v>9</v>
      </c>
      <c r="M249" cm="1">
        <f t="array" ref="M249">_xlfn.IFS(
tbl_Data2[[#This Row],[Total_Amount_30D]]&lt;10000,2,
tbl_Data2[[#This Row],[Total_Amount_30D]]&lt;25000,5,
tbl_Data2[[#This Row],[Total_Amount_30D]]&lt;50000,7,
tbl_Data2[[#This Row],[Total_Amount_30D]]&gt;=50000,9
)</f>
        <v>9</v>
      </c>
      <c r="N249" cm="1">
        <f t="array" ref="N249">_xlfn.IFS(
tbl_Data2[[#This Row],[Amount_Deviation]]&lt;1.5,2,
tbl_Data2[[#This Row],[Amount_Deviation]]&lt;3,6,
tbl_Data2[[#This Row],[Amount_Deviation]]&lt;6,8,
tbl_Data2[[#This Row],[Amount_Deviation]]&gt;=6,10
)</f>
        <v>6</v>
      </c>
      <c r="O249">
        <f>ROUND(
    (tbl_Data2[[#This Row],[Geo_Score]]*0.2) +
    (tbl_Data2[[#This Row],[Velocity_Score]]*0.25) +
    (tbl_Data2[[#This Row],[Volume_Score]]*0.25) +
    (tbl_Data2[[#This Row],[Deviation_Score]]*0.3),
1
)</f>
        <v>7.7</v>
      </c>
      <c r="P249" t="str" cm="1">
        <f t="array" ref="P249">_xlfn.IFS(
tbl_Data2[[#This Row],[Final_Risk_Score]]&lt;5.5,"Low",
tbl_Data2[[#This Row],[Final_Risk_Score]]&lt;7.5,"Medium",
tbl_Data2[[#This Row],[Final_Risk_Score]]&gt;=7.5,"High"
)</f>
        <v>High</v>
      </c>
      <c r="Q249" t="str" cm="1">
        <f t="array" ref="Q249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250" spans="1:17" hidden="1">
      <c r="A250" t="str">
        <f>tbl_data[[#This Row],[Customer_ID]]</f>
        <v>CUST-249</v>
      </c>
      <c r="B250" t="str">
        <f>tbl_data[[#This Row],[Customer_Type]]</f>
        <v>Business</v>
      </c>
      <c r="C250" t="str">
        <f>tbl_data[[#This Row],[Country]]</f>
        <v>Seychelles</v>
      </c>
      <c r="D250" t="str">
        <f>tbl_data[[#This Row],[Industry]]</f>
        <v>Consulting</v>
      </c>
      <c r="E250">
        <f>tbl_data[[#This Row],[Tx_Count_30D]]</f>
        <v>5</v>
      </c>
      <c r="F250">
        <f>tbl_data[[#This Row],[Total_Amount_30D]]</f>
        <v>19559</v>
      </c>
      <c r="G250">
        <f>tbl_data[[#This Row],[Avg_Tx_Count_6M]]</f>
        <v>4</v>
      </c>
      <c r="H250">
        <f>tbl_data[[#This Row],[Avg_Total_Amount_6M]]</f>
        <v>49084</v>
      </c>
      <c r="I250">
        <f>IFERROR(tbl_Data2[[#This Row],[Tx_Count_30D]]/tbl_Data2[[#This Row],[Avg_Tx_Count_6M]],0)</f>
        <v>1.25</v>
      </c>
      <c r="J250">
        <f>IFERROR(tbl_Data2[[#This Row],[Total_Amount_30D]]/tbl_Data2[[#This Row],[Avg_Total_Amount_6M]],0)</f>
        <v>0.39848015646646567</v>
      </c>
      <c r="K250">
        <f>_xlfn.XLOOKUP(tbl_Data2[[#This Row],[Country]], Geo_Map[Country], Geo_Map[Score], 5)</f>
        <v>9</v>
      </c>
      <c r="L250" cm="1">
        <f t="array" ref="L250">_xlfn.IFS(tbl_Data2[[#This Row],[Tx_Count_30D]]&lt;=5,2,tbl_Data2[[#This Row],[Tx_Count_30D]]&lt;=15,5,tbl_Data2[[#This Row],[Tx_Count_30D]]&lt;=30,7,tbl_Data2[[#This Row],[Tx_Count_30D]]&gt;30,9)</f>
        <v>2</v>
      </c>
      <c r="M250" cm="1">
        <f t="array" ref="M250">_xlfn.IFS(
tbl_Data2[[#This Row],[Total_Amount_30D]]&lt;10000,2,
tbl_Data2[[#This Row],[Total_Amount_30D]]&lt;25000,5,
tbl_Data2[[#This Row],[Total_Amount_30D]]&lt;50000,7,
tbl_Data2[[#This Row],[Total_Amount_30D]]&gt;=50000,9
)</f>
        <v>5</v>
      </c>
      <c r="N250" cm="1">
        <f t="array" ref="N250">_xlfn.IFS(
tbl_Data2[[#This Row],[Amount_Deviation]]&lt;1.5,2,
tbl_Data2[[#This Row],[Amount_Deviation]]&lt;3,6,
tbl_Data2[[#This Row],[Amount_Deviation]]&lt;6,8,
tbl_Data2[[#This Row],[Amount_Deviation]]&gt;=6,10
)</f>
        <v>2</v>
      </c>
      <c r="O250">
        <f>ROUND(
    (tbl_Data2[[#This Row],[Geo_Score]]*0.2) +
    (tbl_Data2[[#This Row],[Velocity_Score]]*0.25) +
    (tbl_Data2[[#This Row],[Volume_Score]]*0.25) +
    (tbl_Data2[[#This Row],[Deviation_Score]]*0.3),
1
)</f>
        <v>4.2</v>
      </c>
      <c r="P250" t="str" cm="1">
        <f t="array" ref="P250">_xlfn.IFS(
tbl_Data2[[#This Row],[Final_Risk_Score]]&lt;5.5,"Low",
tbl_Data2[[#This Row],[Final_Risk_Score]]&lt;7.5,"Medium",
tbl_Data2[[#This Row],[Final_Risk_Score]]&gt;=7.5,"High"
)</f>
        <v>Low</v>
      </c>
      <c r="Q250" t="str" cm="1">
        <f t="array" ref="Q250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251" spans="1:17">
      <c r="A251" t="str">
        <f>tbl_data[[#This Row],[Customer_ID]]</f>
        <v>CUST-250</v>
      </c>
      <c r="B251" t="str">
        <f>tbl_data[[#This Row],[Customer_Type]]</f>
        <v>Individual</v>
      </c>
      <c r="C251" t="str">
        <f>tbl_data[[#This Row],[Country]]</f>
        <v>Cyprus</v>
      </c>
      <c r="D251" t="str">
        <f>tbl_data[[#This Row],[Industry]]</f>
        <v>Trading</v>
      </c>
      <c r="E251">
        <f>tbl_data[[#This Row],[Tx_Count_30D]]</f>
        <v>30</v>
      </c>
      <c r="F251">
        <f>tbl_data[[#This Row],[Total_Amount_30D]]</f>
        <v>89735</v>
      </c>
      <c r="G251">
        <f>tbl_data[[#This Row],[Avg_Tx_Count_6M]]</f>
        <v>30</v>
      </c>
      <c r="H251">
        <f>tbl_data[[#This Row],[Avg_Total_Amount_6M]]</f>
        <v>61434</v>
      </c>
      <c r="I251">
        <f>IFERROR(tbl_Data2[[#This Row],[Tx_Count_30D]]/tbl_Data2[[#This Row],[Avg_Tx_Count_6M]],0)</f>
        <v>1</v>
      </c>
      <c r="J251">
        <f>IFERROR(tbl_Data2[[#This Row],[Total_Amount_30D]]/tbl_Data2[[#This Row],[Avg_Total_Amount_6M]],0)</f>
        <v>1.4606732428297033</v>
      </c>
      <c r="K251">
        <f>_xlfn.XLOOKUP(tbl_Data2[[#This Row],[Country]], Geo_Map[Country], Geo_Map[Score], 5)</f>
        <v>7</v>
      </c>
      <c r="L251" cm="1">
        <f t="array" ref="L251">_xlfn.IFS(tbl_Data2[[#This Row],[Tx_Count_30D]]&lt;=5,2,tbl_Data2[[#This Row],[Tx_Count_30D]]&lt;=15,5,tbl_Data2[[#This Row],[Tx_Count_30D]]&lt;=30,7,tbl_Data2[[#This Row],[Tx_Count_30D]]&gt;30,9)</f>
        <v>7</v>
      </c>
      <c r="M251" cm="1">
        <f t="array" ref="M251">_xlfn.IFS(
tbl_Data2[[#This Row],[Total_Amount_30D]]&lt;10000,2,
tbl_Data2[[#This Row],[Total_Amount_30D]]&lt;25000,5,
tbl_Data2[[#This Row],[Total_Amount_30D]]&lt;50000,7,
tbl_Data2[[#This Row],[Total_Amount_30D]]&gt;=50000,9
)</f>
        <v>9</v>
      </c>
      <c r="N251" cm="1">
        <f t="array" ref="N251">_xlfn.IFS(
tbl_Data2[[#This Row],[Amount_Deviation]]&lt;1.5,2,
tbl_Data2[[#This Row],[Amount_Deviation]]&lt;3,6,
tbl_Data2[[#This Row],[Amount_Deviation]]&lt;6,8,
tbl_Data2[[#This Row],[Amount_Deviation]]&gt;=6,10
)</f>
        <v>2</v>
      </c>
      <c r="O251">
        <f>ROUND(
    (tbl_Data2[[#This Row],[Geo_Score]]*0.2) +
    (tbl_Data2[[#This Row],[Velocity_Score]]*0.25) +
    (tbl_Data2[[#This Row],[Volume_Score]]*0.25) +
    (tbl_Data2[[#This Row],[Deviation_Score]]*0.3),
1
)</f>
        <v>6</v>
      </c>
      <c r="P251" t="str" cm="1">
        <f t="array" ref="P251">_xlfn.IFS(
tbl_Data2[[#This Row],[Final_Risk_Score]]&lt;5.5,"Low",
tbl_Data2[[#This Row],[Final_Risk_Score]]&lt;7.5,"Medium",
tbl_Data2[[#This Row],[Final_Risk_Score]]&gt;=7.5,"High"
)</f>
        <v>Medium</v>
      </c>
      <c r="Q251" t="str" cm="1">
        <f t="array" ref="Q251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52" spans="1:17" hidden="1">
      <c r="A252" t="str">
        <f>tbl_data[[#This Row],[Customer_ID]]</f>
        <v>CUST-251</v>
      </c>
      <c r="B252" t="str">
        <f>tbl_data[[#This Row],[Customer_Type]]</f>
        <v>Business</v>
      </c>
      <c r="C252" t="str">
        <f>tbl_data[[#This Row],[Country]]</f>
        <v>Cyprus</v>
      </c>
      <c r="D252" t="str">
        <f>tbl_data[[#This Row],[Industry]]</f>
        <v>IT Services</v>
      </c>
      <c r="E252">
        <f>tbl_data[[#This Row],[Tx_Count_30D]]</f>
        <v>33</v>
      </c>
      <c r="F252">
        <f>tbl_data[[#This Row],[Total_Amount_30D]]</f>
        <v>7816</v>
      </c>
      <c r="G252">
        <f>tbl_data[[#This Row],[Avg_Tx_Count_6M]]</f>
        <v>7</v>
      </c>
      <c r="H252">
        <f>tbl_data[[#This Row],[Avg_Total_Amount_6M]]</f>
        <v>17829</v>
      </c>
      <c r="I252">
        <f>IFERROR(tbl_Data2[[#This Row],[Tx_Count_30D]]/tbl_Data2[[#This Row],[Avg_Tx_Count_6M]],0)</f>
        <v>4.7142857142857144</v>
      </c>
      <c r="J252">
        <f>IFERROR(tbl_Data2[[#This Row],[Total_Amount_30D]]/tbl_Data2[[#This Row],[Avg_Total_Amount_6M]],0)</f>
        <v>0.43838689775085538</v>
      </c>
      <c r="K252">
        <f>_xlfn.XLOOKUP(tbl_Data2[[#This Row],[Country]], Geo_Map[Country], Geo_Map[Score], 5)</f>
        <v>7</v>
      </c>
      <c r="L252" cm="1">
        <f t="array" ref="L252">_xlfn.IFS(tbl_Data2[[#This Row],[Tx_Count_30D]]&lt;=5,2,tbl_Data2[[#This Row],[Tx_Count_30D]]&lt;=15,5,tbl_Data2[[#This Row],[Tx_Count_30D]]&lt;=30,7,tbl_Data2[[#This Row],[Tx_Count_30D]]&gt;30,9)</f>
        <v>9</v>
      </c>
      <c r="M252" cm="1">
        <f t="array" ref="M252">_xlfn.IFS(
tbl_Data2[[#This Row],[Total_Amount_30D]]&lt;10000,2,
tbl_Data2[[#This Row],[Total_Amount_30D]]&lt;25000,5,
tbl_Data2[[#This Row],[Total_Amount_30D]]&lt;50000,7,
tbl_Data2[[#This Row],[Total_Amount_30D]]&gt;=50000,9
)</f>
        <v>2</v>
      </c>
      <c r="N252" cm="1">
        <f t="array" ref="N252">_xlfn.IFS(
tbl_Data2[[#This Row],[Amount_Deviation]]&lt;1.5,2,
tbl_Data2[[#This Row],[Amount_Deviation]]&lt;3,6,
tbl_Data2[[#This Row],[Amount_Deviation]]&lt;6,8,
tbl_Data2[[#This Row],[Amount_Deviation]]&gt;=6,10
)</f>
        <v>2</v>
      </c>
      <c r="O252">
        <f>ROUND(
    (tbl_Data2[[#This Row],[Geo_Score]]*0.2) +
    (tbl_Data2[[#This Row],[Velocity_Score]]*0.25) +
    (tbl_Data2[[#This Row],[Volume_Score]]*0.25) +
    (tbl_Data2[[#This Row],[Deviation_Score]]*0.3),
1
)</f>
        <v>4.8</v>
      </c>
      <c r="P252" t="str" cm="1">
        <f t="array" ref="P252">_xlfn.IFS(
tbl_Data2[[#This Row],[Final_Risk_Score]]&lt;5.5,"Low",
tbl_Data2[[#This Row],[Final_Risk_Score]]&lt;7.5,"Medium",
tbl_Data2[[#This Row],[Final_Risk_Score]]&gt;=7.5,"High"
)</f>
        <v>Low</v>
      </c>
      <c r="Q252" t="str" cm="1">
        <f t="array" ref="Q252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253" spans="1:17" hidden="1">
      <c r="A253" t="str">
        <f>tbl_data[[#This Row],[Customer_ID]]</f>
        <v>CUST-252</v>
      </c>
      <c r="B253" t="str">
        <f>tbl_data[[#This Row],[Customer_Type]]</f>
        <v>Individual</v>
      </c>
      <c r="C253" t="str">
        <f>tbl_data[[#This Row],[Country]]</f>
        <v>Seychelles</v>
      </c>
      <c r="D253" t="str">
        <f>tbl_data[[#This Row],[Industry]]</f>
        <v>Trading</v>
      </c>
      <c r="E253">
        <f>tbl_data[[#This Row],[Tx_Count_30D]]</f>
        <v>52</v>
      </c>
      <c r="F253">
        <f>tbl_data[[#This Row],[Total_Amount_30D]]</f>
        <v>5935</v>
      </c>
      <c r="G253">
        <f>tbl_data[[#This Row],[Avg_Tx_Count_6M]]</f>
        <v>27</v>
      </c>
      <c r="H253">
        <f>tbl_data[[#This Row],[Avg_Total_Amount_6M]]</f>
        <v>55181</v>
      </c>
      <c r="I253">
        <f>IFERROR(tbl_Data2[[#This Row],[Tx_Count_30D]]/tbl_Data2[[#This Row],[Avg_Tx_Count_6M]],0)</f>
        <v>1.9259259259259258</v>
      </c>
      <c r="J253">
        <f>IFERROR(tbl_Data2[[#This Row],[Total_Amount_30D]]/tbl_Data2[[#This Row],[Avg_Total_Amount_6M]],0)</f>
        <v>0.10755513673184611</v>
      </c>
      <c r="K253">
        <f>_xlfn.XLOOKUP(tbl_Data2[[#This Row],[Country]], Geo_Map[Country], Geo_Map[Score], 5)</f>
        <v>9</v>
      </c>
      <c r="L253" cm="1">
        <f t="array" ref="L253">_xlfn.IFS(tbl_Data2[[#This Row],[Tx_Count_30D]]&lt;=5,2,tbl_Data2[[#This Row],[Tx_Count_30D]]&lt;=15,5,tbl_Data2[[#This Row],[Tx_Count_30D]]&lt;=30,7,tbl_Data2[[#This Row],[Tx_Count_30D]]&gt;30,9)</f>
        <v>9</v>
      </c>
      <c r="M253" cm="1">
        <f t="array" ref="M253">_xlfn.IFS(
tbl_Data2[[#This Row],[Total_Amount_30D]]&lt;10000,2,
tbl_Data2[[#This Row],[Total_Amount_30D]]&lt;25000,5,
tbl_Data2[[#This Row],[Total_Amount_30D]]&lt;50000,7,
tbl_Data2[[#This Row],[Total_Amount_30D]]&gt;=50000,9
)</f>
        <v>2</v>
      </c>
      <c r="N253" cm="1">
        <f t="array" ref="N253">_xlfn.IFS(
tbl_Data2[[#This Row],[Amount_Deviation]]&lt;1.5,2,
tbl_Data2[[#This Row],[Amount_Deviation]]&lt;3,6,
tbl_Data2[[#This Row],[Amount_Deviation]]&lt;6,8,
tbl_Data2[[#This Row],[Amount_Deviation]]&gt;=6,10
)</f>
        <v>2</v>
      </c>
      <c r="O253">
        <f>ROUND(
    (tbl_Data2[[#This Row],[Geo_Score]]*0.2) +
    (tbl_Data2[[#This Row],[Velocity_Score]]*0.25) +
    (tbl_Data2[[#This Row],[Volume_Score]]*0.25) +
    (tbl_Data2[[#This Row],[Deviation_Score]]*0.3),
1
)</f>
        <v>5.2</v>
      </c>
      <c r="P253" t="str" cm="1">
        <f t="array" ref="P253">_xlfn.IFS(
tbl_Data2[[#This Row],[Final_Risk_Score]]&lt;5.5,"Low",
tbl_Data2[[#This Row],[Final_Risk_Score]]&lt;7.5,"Medium",
tbl_Data2[[#This Row],[Final_Risk_Score]]&gt;=7.5,"High"
)</f>
        <v>Low</v>
      </c>
      <c r="Q253" t="str" cm="1">
        <f t="array" ref="Q253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254" spans="1:17">
      <c r="A254" t="str">
        <f>tbl_data[[#This Row],[Customer_ID]]</f>
        <v>CUST-253</v>
      </c>
      <c r="B254" t="str">
        <f>tbl_data[[#This Row],[Customer_Type]]</f>
        <v>Individual</v>
      </c>
      <c r="C254" t="str">
        <f>tbl_data[[#This Row],[Country]]</f>
        <v>Panama</v>
      </c>
      <c r="D254" t="str">
        <f>tbl_data[[#This Row],[Industry]]</f>
        <v>Import/Export</v>
      </c>
      <c r="E254">
        <f>tbl_data[[#This Row],[Tx_Count_30D]]</f>
        <v>45</v>
      </c>
      <c r="F254">
        <f>tbl_data[[#This Row],[Total_Amount_30D]]</f>
        <v>38673</v>
      </c>
      <c r="G254">
        <f>tbl_data[[#This Row],[Avg_Tx_Count_6M]]</f>
        <v>34</v>
      </c>
      <c r="H254">
        <f>tbl_data[[#This Row],[Avg_Total_Amount_6M]]</f>
        <v>43024</v>
      </c>
      <c r="I254">
        <f>IFERROR(tbl_Data2[[#This Row],[Tx_Count_30D]]/tbl_Data2[[#This Row],[Avg_Tx_Count_6M]],0)</f>
        <v>1.3235294117647058</v>
      </c>
      <c r="J254">
        <f>IFERROR(tbl_Data2[[#This Row],[Total_Amount_30D]]/tbl_Data2[[#This Row],[Avg_Total_Amount_6M]],0)</f>
        <v>0.89887039791744139</v>
      </c>
      <c r="K254">
        <f>_xlfn.XLOOKUP(tbl_Data2[[#This Row],[Country]], Geo_Map[Country], Geo_Map[Score], 5)</f>
        <v>8</v>
      </c>
      <c r="L254" cm="1">
        <f t="array" ref="L254">_xlfn.IFS(tbl_Data2[[#This Row],[Tx_Count_30D]]&lt;=5,2,tbl_Data2[[#This Row],[Tx_Count_30D]]&lt;=15,5,tbl_Data2[[#This Row],[Tx_Count_30D]]&lt;=30,7,tbl_Data2[[#This Row],[Tx_Count_30D]]&gt;30,9)</f>
        <v>9</v>
      </c>
      <c r="M254" cm="1">
        <f t="array" ref="M254">_xlfn.IFS(
tbl_Data2[[#This Row],[Total_Amount_30D]]&lt;10000,2,
tbl_Data2[[#This Row],[Total_Amount_30D]]&lt;25000,5,
tbl_Data2[[#This Row],[Total_Amount_30D]]&lt;50000,7,
tbl_Data2[[#This Row],[Total_Amount_30D]]&gt;=50000,9
)</f>
        <v>7</v>
      </c>
      <c r="N254" cm="1">
        <f t="array" ref="N254">_xlfn.IFS(
tbl_Data2[[#This Row],[Amount_Deviation]]&lt;1.5,2,
tbl_Data2[[#This Row],[Amount_Deviation]]&lt;3,6,
tbl_Data2[[#This Row],[Amount_Deviation]]&lt;6,8,
tbl_Data2[[#This Row],[Amount_Deviation]]&gt;=6,10
)</f>
        <v>2</v>
      </c>
      <c r="O254">
        <f>ROUND(
    (tbl_Data2[[#This Row],[Geo_Score]]*0.2) +
    (tbl_Data2[[#This Row],[Velocity_Score]]*0.25) +
    (tbl_Data2[[#This Row],[Volume_Score]]*0.25) +
    (tbl_Data2[[#This Row],[Deviation_Score]]*0.3),
1
)</f>
        <v>6.2</v>
      </c>
      <c r="P254" t="str" cm="1">
        <f t="array" ref="P254">_xlfn.IFS(
tbl_Data2[[#This Row],[Final_Risk_Score]]&lt;5.5,"Low",
tbl_Data2[[#This Row],[Final_Risk_Score]]&lt;7.5,"Medium",
tbl_Data2[[#This Row],[Final_Risk_Score]]&gt;=7.5,"High"
)</f>
        <v>Medium</v>
      </c>
      <c r="Q254" t="str" cm="1">
        <f t="array" ref="Q254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55" spans="1:17">
      <c r="A255" t="str">
        <f>tbl_data[[#This Row],[Customer_ID]]</f>
        <v>CUST-254</v>
      </c>
      <c r="B255" t="str">
        <f>tbl_data[[#This Row],[Customer_Type]]</f>
        <v>Business</v>
      </c>
      <c r="C255" t="str">
        <f>tbl_data[[#This Row],[Country]]</f>
        <v>Cyprus</v>
      </c>
      <c r="D255" t="str">
        <f>tbl_data[[#This Row],[Industry]]</f>
        <v>Manufacturing</v>
      </c>
      <c r="E255">
        <f>tbl_data[[#This Row],[Tx_Count_30D]]</f>
        <v>54</v>
      </c>
      <c r="F255">
        <f>tbl_data[[#This Row],[Total_Amount_30D]]</f>
        <v>13656</v>
      </c>
      <c r="G255">
        <f>tbl_data[[#This Row],[Avg_Tx_Count_6M]]</f>
        <v>34</v>
      </c>
      <c r="H255">
        <f>tbl_data[[#This Row],[Avg_Total_Amount_6M]]</f>
        <v>3862</v>
      </c>
      <c r="I255">
        <f>IFERROR(tbl_Data2[[#This Row],[Tx_Count_30D]]/tbl_Data2[[#This Row],[Avg_Tx_Count_6M]],0)</f>
        <v>1.588235294117647</v>
      </c>
      <c r="J255">
        <f>IFERROR(tbl_Data2[[#This Row],[Total_Amount_30D]]/tbl_Data2[[#This Row],[Avg_Total_Amount_6M]],0)</f>
        <v>3.5359917141377526</v>
      </c>
      <c r="K255">
        <f>_xlfn.XLOOKUP(tbl_Data2[[#This Row],[Country]], Geo_Map[Country], Geo_Map[Score], 5)</f>
        <v>7</v>
      </c>
      <c r="L255" cm="1">
        <f t="array" ref="L255">_xlfn.IFS(tbl_Data2[[#This Row],[Tx_Count_30D]]&lt;=5,2,tbl_Data2[[#This Row],[Tx_Count_30D]]&lt;=15,5,tbl_Data2[[#This Row],[Tx_Count_30D]]&lt;=30,7,tbl_Data2[[#This Row],[Tx_Count_30D]]&gt;30,9)</f>
        <v>9</v>
      </c>
      <c r="M255" cm="1">
        <f t="array" ref="M255">_xlfn.IFS(
tbl_Data2[[#This Row],[Total_Amount_30D]]&lt;10000,2,
tbl_Data2[[#This Row],[Total_Amount_30D]]&lt;25000,5,
tbl_Data2[[#This Row],[Total_Amount_30D]]&lt;50000,7,
tbl_Data2[[#This Row],[Total_Amount_30D]]&gt;=50000,9
)</f>
        <v>5</v>
      </c>
      <c r="N255" cm="1">
        <f t="array" ref="N255">_xlfn.IFS(
tbl_Data2[[#This Row],[Amount_Deviation]]&lt;1.5,2,
tbl_Data2[[#This Row],[Amount_Deviation]]&lt;3,6,
tbl_Data2[[#This Row],[Amount_Deviation]]&lt;6,8,
tbl_Data2[[#This Row],[Amount_Deviation]]&gt;=6,10
)</f>
        <v>8</v>
      </c>
      <c r="O255">
        <f>ROUND(
    (tbl_Data2[[#This Row],[Geo_Score]]*0.2) +
    (tbl_Data2[[#This Row],[Velocity_Score]]*0.25) +
    (tbl_Data2[[#This Row],[Volume_Score]]*0.25) +
    (tbl_Data2[[#This Row],[Deviation_Score]]*0.3),
1
)</f>
        <v>7.3</v>
      </c>
      <c r="P255" t="str" cm="1">
        <f t="array" ref="P255">_xlfn.IFS(
tbl_Data2[[#This Row],[Final_Risk_Score]]&lt;5.5,"Low",
tbl_Data2[[#This Row],[Final_Risk_Score]]&lt;7.5,"Medium",
tbl_Data2[[#This Row],[Final_Risk_Score]]&gt;=7.5,"High"
)</f>
        <v>Medium</v>
      </c>
      <c r="Q255" t="str" cm="1">
        <f t="array" ref="Q255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56" spans="1:17">
      <c r="A256" t="str">
        <f>tbl_data[[#This Row],[Customer_ID]]</f>
        <v>CUST-255</v>
      </c>
      <c r="B256" t="str">
        <f>tbl_data[[#This Row],[Customer_Type]]</f>
        <v>Individual</v>
      </c>
      <c r="C256" t="str">
        <f>tbl_data[[#This Row],[Country]]</f>
        <v>Hong Kong</v>
      </c>
      <c r="D256" t="str">
        <f>tbl_data[[#This Row],[Industry]]</f>
        <v>Trading</v>
      </c>
      <c r="E256">
        <f>tbl_data[[#This Row],[Tx_Count_30D]]</f>
        <v>29</v>
      </c>
      <c r="F256">
        <f>tbl_data[[#This Row],[Total_Amount_30D]]</f>
        <v>52784</v>
      </c>
      <c r="G256">
        <f>tbl_data[[#This Row],[Avg_Tx_Count_6M]]</f>
        <v>24</v>
      </c>
      <c r="H256">
        <f>tbl_data[[#This Row],[Avg_Total_Amount_6M]]</f>
        <v>20452</v>
      </c>
      <c r="I256">
        <f>IFERROR(tbl_Data2[[#This Row],[Tx_Count_30D]]/tbl_Data2[[#This Row],[Avg_Tx_Count_6M]],0)</f>
        <v>1.2083333333333333</v>
      </c>
      <c r="J256">
        <f>IFERROR(tbl_Data2[[#This Row],[Total_Amount_30D]]/tbl_Data2[[#This Row],[Avg_Total_Amount_6M]],0)</f>
        <v>2.5808722863289653</v>
      </c>
      <c r="K256">
        <f>_xlfn.XLOOKUP(tbl_Data2[[#This Row],[Country]], Geo_Map[Country], Geo_Map[Score], 5)</f>
        <v>6</v>
      </c>
      <c r="L256" cm="1">
        <f t="array" ref="L256">_xlfn.IFS(tbl_Data2[[#This Row],[Tx_Count_30D]]&lt;=5,2,tbl_Data2[[#This Row],[Tx_Count_30D]]&lt;=15,5,tbl_Data2[[#This Row],[Tx_Count_30D]]&lt;=30,7,tbl_Data2[[#This Row],[Tx_Count_30D]]&gt;30,9)</f>
        <v>7</v>
      </c>
      <c r="M256" cm="1">
        <f t="array" ref="M256">_xlfn.IFS(
tbl_Data2[[#This Row],[Total_Amount_30D]]&lt;10000,2,
tbl_Data2[[#This Row],[Total_Amount_30D]]&lt;25000,5,
tbl_Data2[[#This Row],[Total_Amount_30D]]&lt;50000,7,
tbl_Data2[[#This Row],[Total_Amount_30D]]&gt;=50000,9
)</f>
        <v>9</v>
      </c>
      <c r="N256" cm="1">
        <f t="array" ref="N256">_xlfn.IFS(
tbl_Data2[[#This Row],[Amount_Deviation]]&lt;1.5,2,
tbl_Data2[[#This Row],[Amount_Deviation]]&lt;3,6,
tbl_Data2[[#This Row],[Amount_Deviation]]&lt;6,8,
tbl_Data2[[#This Row],[Amount_Deviation]]&gt;=6,10
)</f>
        <v>6</v>
      </c>
      <c r="O256">
        <f>ROUND(
    (tbl_Data2[[#This Row],[Geo_Score]]*0.2) +
    (tbl_Data2[[#This Row],[Velocity_Score]]*0.25) +
    (tbl_Data2[[#This Row],[Volume_Score]]*0.25) +
    (tbl_Data2[[#This Row],[Deviation_Score]]*0.3),
1
)</f>
        <v>7</v>
      </c>
      <c r="P256" t="str" cm="1">
        <f t="array" ref="P256">_xlfn.IFS(
tbl_Data2[[#This Row],[Final_Risk_Score]]&lt;5.5,"Low",
tbl_Data2[[#This Row],[Final_Risk_Score]]&lt;7.5,"Medium",
tbl_Data2[[#This Row],[Final_Risk_Score]]&gt;=7.5,"High"
)</f>
        <v>Medium</v>
      </c>
      <c r="Q256" t="str" cm="1">
        <f t="array" ref="Q256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57" spans="1:17" hidden="1">
      <c r="A257" t="str">
        <f>tbl_data[[#This Row],[Customer_ID]]</f>
        <v>CUST-256</v>
      </c>
      <c r="B257" t="str">
        <f>tbl_data[[#This Row],[Customer_Type]]</f>
        <v>Individual</v>
      </c>
      <c r="C257" t="str">
        <f>tbl_data[[#This Row],[Country]]</f>
        <v>Hong Kong</v>
      </c>
      <c r="D257" t="str">
        <f>tbl_data[[#This Row],[Industry]]</f>
        <v>Consulting</v>
      </c>
      <c r="E257">
        <f>tbl_data[[#This Row],[Tx_Count_30D]]</f>
        <v>11</v>
      </c>
      <c r="F257">
        <f>tbl_data[[#This Row],[Total_Amount_30D]]</f>
        <v>58547</v>
      </c>
      <c r="G257">
        <f>tbl_data[[#This Row],[Avg_Tx_Count_6M]]</f>
        <v>26</v>
      </c>
      <c r="H257">
        <f>tbl_data[[#This Row],[Avg_Total_Amount_6M]]</f>
        <v>65530</v>
      </c>
      <c r="I257">
        <f>IFERROR(tbl_Data2[[#This Row],[Tx_Count_30D]]/tbl_Data2[[#This Row],[Avg_Tx_Count_6M]],0)</f>
        <v>0.42307692307692307</v>
      </c>
      <c r="J257">
        <f>IFERROR(tbl_Data2[[#This Row],[Total_Amount_30D]]/tbl_Data2[[#This Row],[Avg_Total_Amount_6M]],0)</f>
        <v>0.89343811994506328</v>
      </c>
      <c r="K257">
        <f>_xlfn.XLOOKUP(tbl_Data2[[#This Row],[Country]], Geo_Map[Country], Geo_Map[Score], 5)</f>
        <v>6</v>
      </c>
      <c r="L257" cm="1">
        <f t="array" ref="L257">_xlfn.IFS(tbl_Data2[[#This Row],[Tx_Count_30D]]&lt;=5,2,tbl_Data2[[#This Row],[Tx_Count_30D]]&lt;=15,5,tbl_Data2[[#This Row],[Tx_Count_30D]]&lt;=30,7,tbl_Data2[[#This Row],[Tx_Count_30D]]&gt;30,9)</f>
        <v>5</v>
      </c>
      <c r="M257" cm="1">
        <f t="array" ref="M257">_xlfn.IFS(
tbl_Data2[[#This Row],[Total_Amount_30D]]&lt;10000,2,
tbl_Data2[[#This Row],[Total_Amount_30D]]&lt;25000,5,
tbl_Data2[[#This Row],[Total_Amount_30D]]&lt;50000,7,
tbl_Data2[[#This Row],[Total_Amount_30D]]&gt;=50000,9
)</f>
        <v>9</v>
      </c>
      <c r="N257" cm="1">
        <f t="array" ref="N257">_xlfn.IFS(
tbl_Data2[[#This Row],[Amount_Deviation]]&lt;1.5,2,
tbl_Data2[[#This Row],[Amount_Deviation]]&lt;3,6,
tbl_Data2[[#This Row],[Amount_Deviation]]&lt;6,8,
tbl_Data2[[#This Row],[Amount_Deviation]]&gt;=6,10
)</f>
        <v>2</v>
      </c>
      <c r="O257">
        <f>ROUND(
    (tbl_Data2[[#This Row],[Geo_Score]]*0.2) +
    (tbl_Data2[[#This Row],[Velocity_Score]]*0.25) +
    (tbl_Data2[[#This Row],[Volume_Score]]*0.25) +
    (tbl_Data2[[#This Row],[Deviation_Score]]*0.3),
1
)</f>
        <v>5.3</v>
      </c>
      <c r="P257" t="str" cm="1">
        <f t="array" ref="P257">_xlfn.IFS(
tbl_Data2[[#This Row],[Final_Risk_Score]]&lt;5.5,"Low",
tbl_Data2[[#This Row],[Final_Risk_Score]]&lt;7.5,"Medium",
tbl_Data2[[#This Row],[Final_Risk_Score]]&gt;=7.5,"High"
)</f>
        <v>Low</v>
      </c>
      <c r="Q257" t="str" cm="1">
        <f t="array" ref="Q257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258" spans="1:17" hidden="1">
      <c r="A258" t="str">
        <f>tbl_data[[#This Row],[Customer_ID]]</f>
        <v>CUST-257</v>
      </c>
      <c r="B258" t="str">
        <f>tbl_data[[#This Row],[Customer_Type]]</f>
        <v>Business</v>
      </c>
      <c r="C258" t="str">
        <f>tbl_data[[#This Row],[Country]]</f>
        <v>Hong Kong</v>
      </c>
      <c r="D258" t="str">
        <f>tbl_data[[#This Row],[Industry]]</f>
        <v>Logistics</v>
      </c>
      <c r="E258">
        <f>tbl_data[[#This Row],[Tx_Count_30D]]</f>
        <v>12</v>
      </c>
      <c r="F258">
        <f>tbl_data[[#This Row],[Total_Amount_30D]]</f>
        <v>27596</v>
      </c>
      <c r="G258">
        <f>tbl_data[[#This Row],[Avg_Tx_Count_6M]]</f>
        <v>29</v>
      </c>
      <c r="H258">
        <f>tbl_data[[#This Row],[Avg_Total_Amount_6M]]</f>
        <v>31675</v>
      </c>
      <c r="I258">
        <f>IFERROR(tbl_Data2[[#This Row],[Tx_Count_30D]]/tbl_Data2[[#This Row],[Avg_Tx_Count_6M]],0)</f>
        <v>0.41379310344827586</v>
      </c>
      <c r="J258">
        <f>IFERROR(tbl_Data2[[#This Row],[Total_Amount_30D]]/tbl_Data2[[#This Row],[Avg_Total_Amount_6M]],0)</f>
        <v>0.87122336227308605</v>
      </c>
      <c r="K258">
        <f>_xlfn.XLOOKUP(tbl_Data2[[#This Row],[Country]], Geo_Map[Country], Geo_Map[Score], 5)</f>
        <v>6</v>
      </c>
      <c r="L258" cm="1">
        <f t="array" ref="L258">_xlfn.IFS(tbl_Data2[[#This Row],[Tx_Count_30D]]&lt;=5,2,tbl_Data2[[#This Row],[Tx_Count_30D]]&lt;=15,5,tbl_Data2[[#This Row],[Tx_Count_30D]]&lt;=30,7,tbl_Data2[[#This Row],[Tx_Count_30D]]&gt;30,9)</f>
        <v>5</v>
      </c>
      <c r="M258" cm="1">
        <f t="array" ref="M258">_xlfn.IFS(
tbl_Data2[[#This Row],[Total_Amount_30D]]&lt;10000,2,
tbl_Data2[[#This Row],[Total_Amount_30D]]&lt;25000,5,
tbl_Data2[[#This Row],[Total_Amount_30D]]&lt;50000,7,
tbl_Data2[[#This Row],[Total_Amount_30D]]&gt;=50000,9
)</f>
        <v>7</v>
      </c>
      <c r="N258" cm="1">
        <f t="array" ref="N258">_xlfn.IFS(
tbl_Data2[[#This Row],[Amount_Deviation]]&lt;1.5,2,
tbl_Data2[[#This Row],[Amount_Deviation]]&lt;3,6,
tbl_Data2[[#This Row],[Amount_Deviation]]&lt;6,8,
tbl_Data2[[#This Row],[Amount_Deviation]]&gt;=6,10
)</f>
        <v>2</v>
      </c>
      <c r="O258">
        <f>ROUND(
    (tbl_Data2[[#This Row],[Geo_Score]]*0.2) +
    (tbl_Data2[[#This Row],[Velocity_Score]]*0.25) +
    (tbl_Data2[[#This Row],[Volume_Score]]*0.25) +
    (tbl_Data2[[#This Row],[Deviation_Score]]*0.3),
1
)</f>
        <v>4.8</v>
      </c>
      <c r="P258" t="str" cm="1">
        <f t="array" ref="P258">_xlfn.IFS(
tbl_Data2[[#This Row],[Final_Risk_Score]]&lt;5.5,"Low",
tbl_Data2[[#This Row],[Final_Risk_Score]]&lt;7.5,"Medium",
tbl_Data2[[#This Row],[Final_Risk_Score]]&gt;=7.5,"High"
)</f>
        <v>Low</v>
      </c>
      <c r="Q258" t="str" cm="1">
        <f t="array" ref="Q258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259" spans="1:17">
      <c r="A259" t="str">
        <f>tbl_data[[#This Row],[Customer_ID]]</f>
        <v>CUST-258</v>
      </c>
      <c r="B259" t="str">
        <f>tbl_data[[#This Row],[Customer_Type]]</f>
        <v>Business</v>
      </c>
      <c r="C259" t="str">
        <f>tbl_data[[#This Row],[Country]]</f>
        <v>Seychelles</v>
      </c>
      <c r="D259" t="str">
        <f>tbl_data[[#This Row],[Industry]]</f>
        <v>Logistics</v>
      </c>
      <c r="E259">
        <f>tbl_data[[#This Row],[Tx_Count_30D]]</f>
        <v>14</v>
      </c>
      <c r="F259">
        <f>tbl_data[[#This Row],[Total_Amount_30D]]</f>
        <v>59811</v>
      </c>
      <c r="G259">
        <f>tbl_data[[#This Row],[Avg_Tx_Count_6M]]</f>
        <v>7</v>
      </c>
      <c r="H259">
        <f>tbl_data[[#This Row],[Avg_Total_Amount_6M]]</f>
        <v>21087</v>
      </c>
      <c r="I259">
        <f>IFERROR(tbl_Data2[[#This Row],[Tx_Count_30D]]/tbl_Data2[[#This Row],[Avg_Tx_Count_6M]],0)</f>
        <v>2</v>
      </c>
      <c r="J259">
        <f>IFERROR(tbl_Data2[[#This Row],[Total_Amount_30D]]/tbl_Data2[[#This Row],[Avg_Total_Amount_6M]],0)</f>
        <v>2.8363920899132165</v>
      </c>
      <c r="K259">
        <f>_xlfn.XLOOKUP(tbl_Data2[[#This Row],[Country]], Geo_Map[Country], Geo_Map[Score], 5)</f>
        <v>9</v>
      </c>
      <c r="L259" cm="1">
        <f t="array" ref="L259">_xlfn.IFS(tbl_Data2[[#This Row],[Tx_Count_30D]]&lt;=5,2,tbl_Data2[[#This Row],[Tx_Count_30D]]&lt;=15,5,tbl_Data2[[#This Row],[Tx_Count_30D]]&lt;=30,7,tbl_Data2[[#This Row],[Tx_Count_30D]]&gt;30,9)</f>
        <v>5</v>
      </c>
      <c r="M259" cm="1">
        <f t="array" ref="M259">_xlfn.IFS(
tbl_Data2[[#This Row],[Total_Amount_30D]]&lt;10000,2,
tbl_Data2[[#This Row],[Total_Amount_30D]]&lt;25000,5,
tbl_Data2[[#This Row],[Total_Amount_30D]]&lt;50000,7,
tbl_Data2[[#This Row],[Total_Amount_30D]]&gt;=50000,9
)</f>
        <v>9</v>
      </c>
      <c r="N259" cm="1">
        <f t="array" ref="N259">_xlfn.IFS(
tbl_Data2[[#This Row],[Amount_Deviation]]&lt;1.5,2,
tbl_Data2[[#This Row],[Amount_Deviation]]&lt;3,6,
tbl_Data2[[#This Row],[Amount_Deviation]]&lt;6,8,
tbl_Data2[[#This Row],[Amount_Deviation]]&gt;=6,10
)</f>
        <v>6</v>
      </c>
      <c r="O259">
        <f>ROUND(
    (tbl_Data2[[#This Row],[Geo_Score]]*0.2) +
    (tbl_Data2[[#This Row],[Velocity_Score]]*0.25) +
    (tbl_Data2[[#This Row],[Volume_Score]]*0.25) +
    (tbl_Data2[[#This Row],[Deviation_Score]]*0.3),
1
)</f>
        <v>7.1</v>
      </c>
      <c r="P259" t="str" cm="1">
        <f t="array" ref="P259">_xlfn.IFS(
tbl_Data2[[#This Row],[Final_Risk_Score]]&lt;5.5,"Low",
tbl_Data2[[#This Row],[Final_Risk_Score]]&lt;7.5,"Medium",
tbl_Data2[[#This Row],[Final_Risk_Score]]&gt;=7.5,"High"
)</f>
        <v>Medium</v>
      </c>
      <c r="Q259" t="str" cm="1">
        <f t="array" ref="Q259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60" spans="1:17">
      <c r="A260" t="str">
        <f>tbl_data[[#This Row],[Customer_ID]]</f>
        <v>CUST-259</v>
      </c>
      <c r="B260" t="str">
        <f>tbl_data[[#This Row],[Customer_Type]]</f>
        <v>Business</v>
      </c>
      <c r="C260" t="str">
        <f>tbl_data[[#This Row],[Country]]</f>
        <v>UAE</v>
      </c>
      <c r="D260" t="str">
        <f>tbl_data[[#This Row],[Industry]]</f>
        <v>IT Services</v>
      </c>
      <c r="E260">
        <f>tbl_data[[#This Row],[Tx_Count_30D]]</f>
        <v>27</v>
      </c>
      <c r="F260">
        <f>tbl_data[[#This Row],[Total_Amount_30D]]</f>
        <v>94906</v>
      </c>
      <c r="G260">
        <f>tbl_data[[#This Row],[Avg_Tx_Count_6M]]</f>
        <v>8</v>
      </c>
      <c r="H260">
        <f>tbl_data[[#This Row],[Avg_Total_Amount_6M]]</f>
        <v>45272</v>
      </c>
      <c r="I260">
        <f>IFERROR(tbl_Data2[[#This Row],[Tx_Count_30D]]/tbl_Data2[[#This Row],[Avg_Tx_Count_6M]],0)</f>
        <v>3.375</v>
      </c>
      <c r="J260">
        <f>IFERROR(tbl_Data2[[#This Row],[Total_Amount_30D]]/tbl_Data2[[#This Row],[Avg_Total_Amount_6M]],0)</f>
        <v>2.0963509453967131</v>
      </c>
      <c r="K260">
        <f>_xlfn.XLOOKUP(tbl_Data2[[#This Row],[Country]], Geo_Map[Country], Geo_Map[Score], 5)</f>
        <v>6</v>
      </c>
      <c r="L260" cm="1">
        <f t="array" ref="L260">_xlfn.IFS(tbl_Data2[[#This Row],[Tx_Count_30D]]&lt;=5,2,tbl_Data2[[#This Row],[Tx_Count_30D]]&lt;=15,5,tbl_Data2[[#This Row],[Tx_Count_30D]]&lt;=30,7,tbl_Data2[[#This Row],[Tx_Count_30D]]&gt;30,9)</f>
        <v>7</v>
      </c>
      <c r="M260" cm="1">
        <f t="array" ref="M260">_xlfn.IFS(
tbl_Data2[[#This Row],[Total_Amount_30D]]&lt;10000,2,
tbl_Data2[[#This Row],[Total_Amount_30D]]&lt;25000,5,
tbl_Data2[[#This Row],[Total_Amount_30D]]&lt;50000,7,
tbl_Data2[[#This Row],[Total_Amount_30D]]&gt;=50000,9
)</f>
        <v>9</v>
      </c>
      <c r="N260" cm="1">
        <f t="array" ref="N260">_xlfn.IFS(
tbl_Data2[[#This Row],[Amount_Deviation]]&lt;1.5,2,
tbl_Data2[[#This Row],[Amount_Deviation]]&lt;3,6,
tbl_Data2[[#This Row],[Amount_Deviation]]&lt;6,8,
tbl_Data2[[#This Row],[Amount_Deviation]]&gt;=6,10
)</f>
        <v>6</v>
      </c>
      <c r="O260">
        <f>ROUND(
    (tbl_Data2[[#This Row],[Geo_Score]]*0.2) +
    (tbl_Data2[[#This Row],[Velocity_Score]]*0.25) +
    (tbl_Data2[[#This Row],[Volume_Score]]*0.25) +
    (tbl_Data2[[#This Row],[Deviation_Score]]*0.3),
1
)</f>
        <v>7</v>
      </c>
      <c r="P260" t="str" cm="1">
        <f t="array" ref="P260">_xlfn.IFS(
tbl_Data2[[#This Row],[Final_Risk_Score]]&lt;5.5,"Low",
tbl_Data2[[#This Row],[Final_Risk_Score]]&lt;7.5,"Medium",
tbl_Data2[[#This Row],[Final_Risk_Score]]&gt;=7.5,"High"
)</f>
        <v>Medium</v>
      </c>
      <c r="Q260" t="str" cm="1">
        <f t="array" ref="Q260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61" spans="1:17" hidden="1">
      <c r="A261" t="str">
        <f>tbl_data[[#This Row],[Customer_ID]]</f>
        <v>CUST-260</v>
      </c>
      <c r="B261" t="str">
        <f>tbl_data[[#This Row],[Customer_Type]]</f>
        <v>Individual</v>
      </c>
      <c r="C261" t="str">
        <f>tbl_data[[#This Row],[Country]]</f>
        <v>Panama</v>
      </c>
      <c r="D261" t="str">
        <f>tbl_data[[#This Row],[Industry]]</f>
        <v>Logistics</v>
      </c>
      <c r="E261">
        <f>tbl_data[[#This Row],[Tx_Count_30D]]</f>
        <v>9</v>
      </c>
      <c r="F261">
        <f>tbl_data[[#This Row],[Total_Amount_30D]]</f>
        <v>66076</v>
      </c>
      <c r="G261">
        <f>tbl_data[[#This Row],[Avg_Tx_Count_6M]]</f>
        <v>27</v>
      </c>
      <c r="H261">
        <f>tbl_data[[#This Row],[Avg_Total_Amount_6M]]</f>
        <v>15603</v>
      </c>
      <c r="I261">
        <f>IFERROR(tbl_Data2[[#This Row],[Tx_Count_30D]]/tbl_Data2[[#This Row],[Avg_Tx_Count_6M]],0)</f>
        <v>0.33333333333333331</v>
      </c>
      <c r="J261">
        <f>IFERROR(tbl_Data2[[#This Row],[Total_Amount_30D]]/tbl_Data2[[#This Row],[Avg_Total_Amount_6M]],0)</f>
        <v>4.2348266359033522</v>
      </c>
      <c r="K261">
        <f>_xlfn.XLOOKUP(tbl_Data2[[#This Row],[Country]], Geo_Map[Country], Geo_Map[Score], 5)</f>
        <v>8</v>
      </c>
      <c r="L261" cm="1">
        <f t="array" ref="L261">_xlfn.IFS(tbl_Data2[[#This Row],[Tx_Count_30D]]&lt;=5,2,tbl_Data2[[#This Row],[Tx_Count_30D]]&lt;=15,5,tbl_Data2[[#This Row],[Tx_Count_30D]]&lt;=30,7,tbl_Data2[[#This Row],[Tx_Count_30D]]&gt;30,9)</f>
        <v>5</v>
      </c>
      <c r="M261" cm="1">
        <f t="array" ref="M261">_xlfn.IFS(
tbl_Data2[[#This Row],[Total_Amount_30D]]&lt;10000,2,
tbl_Data2[[#This Row],[Total_Amount_30D]]&lt;25000,5,
tbl_Data2[[#This Row],[Total_Amount_30D]]&lt;50000,7,
tbl_Data2[[#This Row],[Total_Amount_30D]]&gt;=50000,9
)</f>
        <v>9</v>
      </c>
      <c r="N261" cm="1">
        <f t="array" ref="N261">_xlfn.IFS(
tbl_Data2[[#This Row],[Amount_Deviation]]&lt;1.5,2,
tbl_Data2[[#This Row],[Amount_Deviation]]&lt;3,6,
tbl_Data2[[#This Row],[Amount_Deviation]]&lt;6,8,
tbl_Data2[[#This Row],[Amount_Deviation]]&gt;=6,10
)</f>
        <v>8</v>
      </c>
      <c r="O261">
        <f>ROUND(
    (tbl_Data2[[#This Row],[Geo_Score]]*0.2) +
    (tbl_Data2[[#This Row],[Velocity_Score]]*0.25) +
    (tbl_Data2[[#This Row],[Volume_Score]]*0.25) +
    (tbl_Data2[[#This Row],[Deviation_Score]]*0.3),
1
)</f>
        <v>7.5</v>
      </c>
      <c r="P261" t="str" cm="1">
        <f t="array" ref="P261">_xlfn.IFS(
tbl_Data2[[#This Row],[Final_Risk_Score]]&lt;5.5,"Low",
tbl_Data2[[#This Row],[Final_Risk_Score]]&lt;7.5,"Medium",
tbl_Data2[[#This Row],[Final_Risk_Score]]&gt;=7.5,"High"
)</f>
        <v>High</v>
      </c>
      <c r="Q261" t="str" cm="1">
        <f t="array" ref="Q261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262" spans="1:17">
      <c r="A262" t="str">
        <f>tbl_data[[#This Row],[Customer_ID]]</f>
        <v>CUST-261</v>
      </c>
      <c r="B262" t="str">
        <f>tbl_data[[#This Row],[Customer_Type]]</f>
        <v>Business</v>
      </c>
      <c r="C262" t="str">
        <f>tbl_data[[#This Row],[Country]]</f>
        <v>Panama</v>
      </c>
      <c r="D262" t="str">
        <f>tbl_data[[#This Row],[Industry]]</f>
        <v>Logistics</v>
      </c>
      <c r="E262">
        <f>tbl_data[[#This Row],[Tx_Count_30D]]</f>
        <v>3</v>
      </c>
      <c r="F262">
        <f>tbl_data[[#This Row],[Total_Amount_30D]]</f>
        <v>86201</v>
      </c>
      <c r="G262">
        <f>tbl_data[[#This Row],[Avg_Tx_Count_6M]]</f>
        <v>8</v>
      </c>
      <c r="H262">
        <f>tbl_data[[#This Row],[Avg_Total_Amount_6M]]</f>
        <v>19519</v>
      </c>
      <c r="I262">
        <f>IFERROR(tbl_Data2[[#This Row],[Tx_Count_30D]]/tbl_Data2[[#This Row],[Avg_Tx_Count_6M]],0)</f>
        <v>0.375</v>
      </c>
      <c r="J262">
        <f>IFERROR(tbl_Data2[[#This Row],[Total_Amount_30D]]/tbl_Data2[[#This Row],[Avg_Total_Amount_6M]],0)</f>
        <v>4.4162610789487164</v>
      </c>
      <c r="K262">
        <f>_xlfn.XLOOKUP(tbl_Data2[[#This Row],[Country]], Geo_Map[Country], Geo_Map[Score], 5)</f>
        <v>8</v>
      </c>
      <c r="L262" cm="1">
        <f t="array" ref="L262">_xlfn.IFS(tbl_Data2[[#This Row],[Tx_Count_30D]]&lt;=5,2,tbl_Data2[[#This Row],[Tx_Count_30D]]&lt;=15,5,tbl_Data2[[#This Row],[Tx_Count_30D]]&lt;=30,7,tbl_Data2[[#This Row],[Tx_Count_30D]]&gt;30,9)</f>
        <v>2</v>
      </c>
      <c r="M262" cm="1">
        <f t="array" ref="M262">_xlfn.IFS(
tbl_Data2[[#This Row],[Total_Amount_30D]]&lt;10000,2,
tbl_Data2[[#This Row],[Total_Amount_30D]]&lt;25000,5,
tbl_Data2[[#This Row],[Total_Amount_30D]]&lt;50000,7,
tbl_Data2[[#This Row],[Total_Amount_30D]]&gt;=50000,9
)</f>
        <v>9</v>
      </c>
      <c r="N262" cm="1">
        <f t="array" ref="N262">_xlfn.IFS(
tbl_Data2[[#This Row],[Amount_Deviation]]&lt;1.5,2,
tbl_Data2[[#This Row],[Amount_Deviation]]&lt;3,6,
tbl_Data2[[#This Row],[Amount_Deviation]]&lt;6,8,
tbl_Data2[[#This Row],[Amount_Deviation]]&gt;=6,10
)</f>
        <v>8</v>
      </c>
      <c r="O262">
        <f>ROUND(
    (tbl_Data2[[#This Row],[Geo_Score]]*0.2) +
    (tbl_Data2[[#This Row],[Velocity_Score]]*0.25) +
    (tbl_Data2[[#This Row],[Volume_Score]]*0.25) +
    (tbl_Data2[[#This Row],[Deviation_Score]]*0.3),
1
)</f>
        <v>6.8</v>
      </c>
      <c r="P262" t="str" cm="1">
        <f t="array" ref="P262">_xlfn.IFS(
tbl_Data2[[#This Row],[Final_Risk_Score]]&lt;5.5,"Low",
tbl_Data2[[#This Row],[Final_Risk_Score]]&lt;7.5,"Medium",
tbl_Data2[[#This Row],[Final_Risk_Score]]&gt;=7.5,"High"
)</f>
        <v>Medium</v>
      </c>
      <c r="Q262" t="str" cm="1">
        <f t="array" ref="Q262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63" spans="1:17">
      <c r="A263" t="str">
        <f>tbl_data[[#This Row],[Customer_ID]]</f>
        <v>CUST-262</v>
      </c>
      <c r="B263" t="str">
        <f>tbl_data[[#This Row],[Customer_Type]]</f>
        <v>Business</v>
      </c>
      <c r="C263" t="str">
        <f>tbl_data[[#This Row],[Country]]</f>
        <v>Panama</v>
      </c>
      <c r="D263" t="str">
        <f>tbl_data[[#This Row],[Industry]]</f>
        <v>Manufacturing</v>
      </c>
      <c r="E263">
        <f>tbl_data[[#This Row],[Tx_Count_30D]]</f>
        <v>24</v>
      </c>
      <c r="F263">
        <f>tbl_data[[#This Row],[Total_Amount_30D]]</f>
        <v>89553</v>
      </c>
      <c r="G263">
        <f>tbl_data[[#This Row],[Avg_Tx_Count_6M]]</f>
        <v>2</v>
      </c>
      <c r="H263">
        <f>tbl_data[[#This Row],[Avg_Total_Amount_6M]]</f>
        <v>37366</v>
      </c>
      <c r="I263">
        <f>IFERROR(tbl_Data2[[#This Row],[Tx_Count_30D]]/tbl_Data2[[#This Row],[Avg_Tx_Count_6M]],0)</f>
        <v>12</v>
      </c>
      <c r="J263">
        <f>IFERROR(tbl_Data2[[#This Row],[Total_Amount_30D]]/tbl_Data2[[#This Row],[Avg_Total_Amount_6M]],0)</f>
        <v>2.39664400792164</v>
      </c>
      <c r="K263">
        <f>_xlfn.XLOOKUP(tbl_Data2[[#This Row],[Country]], Geo_Map[Country], Geo_Map[Score], 5)</f>
        <v>8</v>
      </c>
      <c r="L263" cm="1">
        <f t="array" ref="L263">_xlfn.IFS(tbl_Data2[[#This Row],[Tx_Count_30D]]&lt;=5,2,tbl_Data2[[#This Row],[Tx_Count_30D]]&lt;=15,5,tbl_Data2[[#This Row],[Tx_Count_30D]]&lt;=30,7,tbl_Data2[[#This Row],[Tx_Count_30D]]&gt;30,9)</f>
        <v>7</v>
      </c>
      <c r="M263" cm="1">
        <f t="array" ref="M263">_xlfn.IFS(
tbl_Data2[[#This Row],[Total_Amount_30D]]&lt;10000,2,
tbl_Data2[[#This Row],[Total_Amount_30D]]&lt;25000,5,
tbl_Data2[[#This Row],[Total_Amount_30D]]&lt;50000,7,
tbl_Data2[[#This Row],[Total_Amount_30D]]&gt;=50000,9
)</f>
        <v>9</v>
      </c>
      <c r="N263" cm="1">
        <f t="array" ref="N263">_xlfn.IFS(
tbl_Data2[[#This Row],[Amount_Deviation]]&lt;1.5,2,
tbl_Data2[[#This Row],[Amount_Deviation]]&lt;3,6,
tbl_Data2[[#This Row],[Amount_Deviation]]&lt;6,8,
tbl_Data2[[#This Row],[Amount_Deviation]]&gt;=6,10
)</f>
        <v>6</v>
      </c>
      <c r="O263">
        <f>ROUND(
    (tbl_Data2[[#This Row],[Geo_Score]]*0.2) +
    (tbl_Data2[[#This Row],[Velocity_Score]]*0.25) +
    (tbl_Data2[[#This Row],[Volume_Score]]*0.25) +
    (tbl_Data2[[#This Row],[Deviation_Score]]*0.3),
1
)</f>
        <v>7.4</v>
      </c>
      <c r="P263" t="str" cm="1">
        <f t="array" ref="P263">_xlfn.IFS(
tbl_Data2[[#This Row],[Final_Risk_Score]]&lt;5.5,"Low",
tbl_Data2[[#This Row],[Final_Risk_Score]]&lt;7.5,"Medium",
tbl_Data2[[#This Row],[Final_Risk_Score]]&gt;=7.5,"High"
)</f>
        <v>Medium</v>
      </c>
      <c r="Q263" t="str" cm="1">
        <f t="array" ref="Q263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64" spans="1:17">
      <c r="A264" t="str">
        <f>tbl_data[[#This Row],[Customer_ID]]</f>
        <v>CUST-263</v>
      </c>
      <c r="B264" t="str">
        <f>tbl_data[[#This Row],[Customer_Type]]</f>
        <v>Business</v>
      </c>
      <c r="C264" t="str">
        <f>tbl_data[[#This Row],[Country]]</f>
        <v>Hong Kong</v>
      </c>
      <c r="D264" t="str">
        <f>tbl_data[[#This Row],[Industry]]</f>
        <v>Trading</v>
      </c>
      <c r="E264">
        <f>tbl_data[[#This Row],[Tx_Count_30D]]</f>
        <v>45</v>
      </c>
      <c r="F264">
        <f>tbl_data[[#This Row],[Total_Amount_30D]]</f>
        <v>38776</v>
      </c>
      <c r="G264">
        <f>tbl_data[[#This Row],[Avg_Tx_Count_6M]]</f>
        <v>19</v>
      </c>
      <c r="H264">
        <f>tbl_data[[#This Row],[Avg_Total_Amount_6M]]</f>
        <v>19369</v>
      </c>
      <c r="I264">
        <f>IFERROR(tbl_Data2[[#This Row],[Tx_Count_30D]]/tbl_Data2[[#This Row],[Avg_Tx_Count_6M]],0)</f>
        <v>2.3684210526315788</v>
      </c>
      <c r="J264">
        <f>IFERROR(tbl_Data2[[#This Row],[Total_Amount_30D]]/tbl_Data2[[#This Row],[Avg_Total_Amount_6M]],0)</f>
        <v>2.0019618978780525</v>
      </c>
      <c r="K264">
        <f>_xlfn.XLOOKUP(tbl_Data2[[#This Row],[Country]], Geo_Map[Country], Geo_Map[Score], 5)</f>
        <v>6</v>
      </c>
      <c r="L264" cm="1">
        <f t="array" ref="L264">_xlfn.IFS(tbl_Data2[[#This Row],[Tx_Count_30D]]&lt;=5,2,tbl_Data2[[#This Row],[Tx_Count_30D]]&lt;=15,5,tbl_Data2[[#This Row],[Tx_Count_30D]]&lt;=30,7,tbl_Data2[[#This Row],[Tx_Count_30D]]&gt;30,9)</f>
        <v>9</v>
      </c>
      <c r="M264" cm="1">
        <f t="array" ref="M264">_xlfn.IFS(
tbl_Data2[[#This Row],[Total_Amount_30D]]&lt;10000,2,
tbl_Data2[[#This Row],[Total_Amount_30D]]&lt;25000,5,
tbl_Data2[[#This Row],[Total_Amount_30D]]&lt;50000,7,
tbl_Data2[[#This Row],[Total_Amount_30D]]&gt;=50000,9
)</f>
        <v>7</v>
      </c>
      <c r="N264" cm="1">
        <f t="array" ref="N264">_xlfn.IFS(
tbl_Data2[[#This Row],[Amount_Deviation]]&lt;1.5,2,
tbl_Data2[[#This Row],[Amount_Deviation]]&lt;3,6,
tbl_Data2[[#This Row],[Amount_Deviation]]&lt;6,8,
tbl_Data2[[#This Row],[Amount_Deviation]]&gt;=6,10
)</f>
        <v>6</v>
      </c>
      <c r="O264">
        <f>ROUND(
    (tbl_Data2[[#This Row],[Geo_Score]]*0.2) +
    (tbl_Data2[[#This Row],[Velocity_Score]]*0.25) +
    (tbl_Data2[[#This Row],[Volume_Score]]*0.25) +
    (tbl_Data2[[#This Row],[Deviation_Score]]*0.3),
1
)</f>
        <v>7</v>
      </c>
      <c r="P264" t="str" cm="1">
        <f t="array" ref="P264">_xlfn.IFS(
tbl_Data2[[#This Row],[Final_Risk_Score]]&lt;5.5,"Low",
tbl_Data2[[#This Row],[Final_Risk_Score]]&lt;7.5,"Medium",
tbl_Data2[[#This Row],[Final_Risk_Score]]&gt;=7.5,"High"
)</f>
        <v>Medium</v>
      </c>
      <c r="Q264" t="str" cm="1">
        <f t="array" ref="Q264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65" spans="1:17">
      <c r="A265" t="str">
        <f>tbl_data[[#This Row],[Customer_ID]]</f>
        <v>CUST-264</v>
      </c>
      <c r="B265" t="str">
        <f>tbl_data[[#This Row],[Customer_Type]]</f>
        <v>Business</v>
      </c>
      <c r="C265" t="str">
        <f>tbl_data[[#This Row],[Country]]</f>
        <v>USA</v>
      </c>
      <c r="D265" t="str">
        <f>tbl_data[[#This Row],[Industry]]</f>
        <v>Trading</v>
      </c>
      <c r="E265">
        <f>tbl_data[[#This Row],[Tx_Count_30D]]</f>
        <v>30</v>
      </c>
      <c r="F265">
        <f>tbl_data[[#This Row],[Total_Amount_30D]]</f>
        <v>79019</v>
      </c>
      <c r="G265">
        <f>tbl_data[[#This Row],[Avg_Tx_Count_6M]]</f>
        <v>8</v>
      </c>
      <c r="H265">
        <f>tbl_data[[#This Row],[Avg_Total_Amount_6M]]</f>
        <v>29493</v>
      </c>
      <c r="I265">
        <f>IFERROR(tbl_Data2[[#This Row],[Tx_Count_30D]]/tbl_Data2[[#This Row],[Avg_Tx_Count_6M]],0)</f>
        <v>3.75</v>
      </c>
      <c r="J265">
        <f>IFERROR(tbl_Data2[[#This Row],[Total_Amount_30D]]/tbl_Data2[[#This Row],[Avg_Total_Amount_6M]],0)</f>
        <v>2.679245922761333</v>
      </c>
      <c r="K265">
        <f>_xlfn.XLOOKUP(tbl_Data2[[#This Row],[Country]], Geo_Map[Country], Geo_Map[Score], 5)</f>
        <v>1</v>
      </c>
      <c r="L265" cm="1">
        <f t="array" ref="L265">_xlfn.IFS(tbl_Data2[[#This Row],[Tx_Count_30D]]&lt;=5,2,tbl_Data2[[#This Row],[Tx_Count_30D]]&lt;=15,5,tbl_Data2[[#This Row],[Tx_Count_30D]]&lt;=30,7,tbl_Data2[[#This Row],[Tx_Count_30D]]&gt;30,9)</f>
        <v>7</v>
      </c>
      <c r="M265" cm="1">
        <f t="array" ref="M265">_xlfn.IFS(
tbl_Data2[[#This Row],[Total_Amount_30D]]&lt;10000,2,
tbl_Data2[[#This Row],[Total_Amount_30D]]&lt;25000,5,
tbl_Data2[[#This Row],[Total_Amount_30D]]&lt;50000,7,
tbl_Data2[[#This Row],[Total_Amount_30D]]&gt;=50000,9
)</f>
        <v>9</v>
      </c>
      <c r="N265" cm="1">
        <f t="array" ref="N265">_xlfn.IFS(
tbl_Data2[[#This Row],[Amount_Deviation]]&lt;1.5,2,
tbl_Data2[[#This Row],[Amount_Deviation]]&lt;3,6,
tbl_Data2[[#This Row],[Amount_Deviation]]&lt;6,8,
tbl_Data2[[#This Row],[Amount_Deviation]]&gt;=6,10
)</f>
        <v>6</v>
      </c>
      <c r="O265">
        <f>ROUND(
    (tbl_Data2[[#This Row],[Geo_Score]]*0.2) +
    (tbl_Data2[[#This Row],[Velocity_Score]]*0.25) +
    (tbl_Data2[[#This Row],[Volume_Score]]*0.25) +
    (tbl_Data2[[#This Row],[Deviation_Score]]*0.3),
1
)</f>
        <v>6</v>
      </c>
      <c r="P265" t="str" cm="1">
        <f t="array" ref="P265">_xlfn.IFS(
tbl_Data2[[#This Row],[Final_Risk_Score]]&lt;5.5,"Low",
tbl_Data2[[#This Row],[Final_Risk_Score]]&lt;7.5,"Medium",
tbl_Data2[[#This Row],[Final_Risk_Score]]&gt;=7.5,"High"
)</f>
        <v>Medium</v>
      </c>
      <c r="Q265" t="str" cm="1">
        <f t="array" ref="Q265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66" spans="1:17" hidden="1">
      <c r="A266" t="str">
        <f>tbl_data[[#This Row],[Customer_ID]]</f>
        <v>CUST-265</v>
      </c>
      <c r="B266" t="str">
        <f>tbl_data[[#This Row],[Customer_Type]]</f>
        <v>Business</v>
      </c>
      <c r="C266" t="str">
        <f>tbl_data[[#This Row],[Country]]</f>
        <v>Hong Kong</v>
      </c>
      <c r="D266" t="str">
        <f>tbl_data[[#This Row],[Industry]]</f>
        <v>Consulting</v>
      </c>
      <c r="E266">
        <f>tbl_data[[#This Row],[Tx_Count_30D]]</f>
        <v>17</v>
      </c>
      <c r="F266">
        <f>tbl_data[[#This Row],[Total_Amount_30D]]</f>
        <v>89419</v>
      </c>
      <c r="G266">
        <f>tbl_data[[#This Row],[Avg_Tx_Count_6M]]</f>
        <v>15</v>
      </c>
      <c r="H266">
        <f>tbl_data[[#This Row],[Avg_Total_Amount_6M]]</f>
        <v>18422</v>
      </c>
      <c r="I266">
        <f>IFERROR(tbl_Data2[[#This Row],[Tx_Count_30D]]/tbl_Data2[[#This Row],[Avg_Tx_Count_6M]],0)</f>
        <v>1.1333333333333333</v>
      </c>
      <c r="J266">
        <f>IFERROR(tbl_Data2[[#This Row],[Total_Amount_30D]]/tbl_Data2[[#This Row],[Avg_Total_Amount_6M]],0)</f>
        <v>4.8539246553034419</v>
      </c>
      <c r="K266">
        <f>_xlfn.XLOOKUP(tbl_Data2[[#This Row],[Country]], Geo_Map[Country], Geo_Map[Score], 5)</f>
        <v>6</v>
      </c>
      <c r="L266" cm="1">
        <f t="array" ref="L266">_xlfn.IFS(tbl_Data2[[#This Row],[Tx_Count_30D]]&lt;=5,2,tbl_Data2[[#This Row],[Tx_Count_30D]]&lt;=15,5,tbl_Data2[[#This Row],[Tx_Count_30D]]&lt;=30,7,tbl_Data2[[#This Row],[Tx_Count_30D]]&gt;30,9)</f>
        <v>7</v>
      </c>
      <c r="M266" cm="1">
        <f t="array" ref="M266">_xlfn.IFS(
tbl_Data2[[#This Row],[Total_Amount_30D]]&lt;10000,2,
tbl_Data2[[#This Row],[Total_Amount_30D]]&lt;25000,5,
tbl_Data2[[#This Row],[Total_Amount_30D]]&lt;50000,7,
tbl_Data2[[#This Row],[Total_Amount_30D]]&gt;=50000,9
)</f>
        <v>9</v>
      </c>
      <c r="N266" cm="1">
        <f t="array" ref="N266">_xlfn.IFS(
tbl_Data2[[#This Row],[Amount_Deviation]]&lt;1.5,2,
tbl_Data2[[#This Row],[Amount_Deviation]]&lt;3,6,
tbl_Data2[[#This Row],[Amount_Deviation]]&lt;6,8,
tbl_Data2[[#This Row],[Amount_Deviation]]&gt;=6,10
)</f>
        <v>8</v>
      </c>
      <c r="O266">
        <f>ROUND(
    (tbl_Data2[[#This Row],[Geo_Score]]*0.2) +
    (tbl_Data2[[#This Row],[Velocity_Score]]*0.25) +
    (tbl_Data2[[#This Row],[Volume_Score]]*0.25) +
    (tbl_Data2[[#This Row],[Deviation_Score]]*0.3),
1
)</f>
        <v>7.6</v>
      </c>
      <c r="P266" t="str" cm="1">
        <f t="array" ref="P266">_xlfn.IFS(
tbl_Data2[[#This Row],[Final_Risk_Score]]&lt;5.5,"Low",
tbl_Data2[[#This Row],[Final_Risk_Score]]&lt;7.5,"Medium",
tbl_Data2[[#This Row],[Final_Risk_Score]]&gt;=7.5,"High"
)</f>
        <v>High</v>
      </c>
      <c r="Q266" t="str" cm="1">
        <f t="array" ref="Q266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267" spans="1:17">
      <c r="A267" t="str">
        <f>tbl_data[[#This Row],[Customer_ID]]</f>
        <v>CUST-266</v>
      </c>
      <c r="B267" t="str">
        <f>tbl_data[[#This Row],[Customer_Type]]</f>
        <v>Business</v>
      </c>
      <c r="C267" t="str">
        <f>tbl_data[[#This Row],[Country]]</f>
        <v>BVI</v>
      </c>
      <c r="D267" t="str">
        <f>tbl_data[[#This Row],[Industry]]</f>
        <v>Logistics</v>
      </c>
      <c r="E267">
        <f>tbl_data[[#This Row],[Tx_Count_30D]]</f>
        <v>54</v>
      </c>
      <c r="F267">
        <f>tbl_data[[#This Row],[Total_Amount_30D]]</f>
        <v>21958</v>
      </c>
      <c r="G267">
        <f>tbl_data[[#This Row],[Avg_Tx_Count_6M]]</f>
        <v>20</v>
      </c>
      <c r="H267">
        <f>tbl_data[[#This Row],[Avg_Total_Amount_6M]]</f>
        <v>11081</v>
      </c>
      <c r="I267">
        <f>IFERROR(tbl_Data2[[#This Row],[Tx_Count_30D]]/tbl_Data2[[#This Row],[Avg_Tx_Count_6M]],0)</f>
        <v>2.7</v>
      </c>
      <c r="J267">
        <f>IFERROR(tbl_Data2[[#This Row],[Total_Amount_30D]]/tbl_Data2[[#This Row],[Avg_Total_Amount_6M]],0)</f>
        <v>1.9815901091959209</v>
      </c>
      <c r="K267">
        <f>_xlfn.XLOOKUP(tbl_Data2[[#This Row],[Country]], Geo_Map[Country], Geo_Map[Score], 5)</f>
        <v>9</v>
      </c>
      <c r="L267" cm="1">
        <f t="array" ref="L267">_xlfn.IFS(tbl_Data2[[#This Row],[Tx_Count_30D]]&lt;=5,2,tbl_Data2[[#This Row],[Tx_Count_30D]]&lt;=15,5,tbl_Data2[[#This Row],[Tx_Count_30D]]&lt;=30,7,tbl_Data2[[#This Row],[Tx_Count_30D]]&gt;30,9)</f>
        <v>9</v>
      </c>
      <c r="M267" cm="1">
        <f t="array" ref="M267">_xlfn.IFS(
tbl_Data2[[#This Row],[Total_Amount_30D]]&lt;10000,2,
tbl_Data2[[#This Row],[Total_Amount_30D]]&lt;25000,5,
tbl_Data2[[#This Row],[Total_Amount_30D]]&lt;50000,7,
tbl_Data2[[#This Row],[Total_Amount_30D]]&gt;=50000,9
)</f>
        <v>5</v>
      </c>
      <c r="N267" cm="1">
        <f t="array" ref="N267">_xlfn.IFS(
tbl_Data2[[#This Row],[Amount_Deviation]]&lt;1.5,2,
tbl_Data2[[#This Row],[Amount_Deviation]]&lt;3,6,
tbl_Data2[[#This Row],[Amount_Deviation]]&lt;6,8,
tbl_Data2[[#This Row],[Amount_Deviation]]&gt;=6,10
)</f>
        <v>6</v>
      </c>
      <c r="O267">
        <f>ROUND(
    (tbl_Data2[[#This Row],[Geo_Score]]*0.2) +
    (tbl_Data2[[#This Row],[Velocity_Score]]*0.25) +
    (tbl_Data2[[#This Row],[Volume_Score]]*0.25) +
    (tbl_Data2[[#This Row],[Deviation_Score]]*0.3),
1
)</f>
        <v>7.1</v>
      </c>
      <c r="P267" t="str" cm="1">
        <f t="array" ref="P267">_xlfn.IFS(
tbl_Data2[[#This Row],[Final_Risk_Score]]&lt;5.5,"Low",
tbl_Data2[[#This Row],[Final_Risk_Score]]&lt;7.5,"Medium",
tbl_Data2[[#This Row],[Final_Risk_Score]]&gt;=7.5,"High"
)</f>
        <v>Medium</v>
      </c>
      <c r="Q267" t="str" cm="1">
        <f t="array" ref="Q267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68" spans="1:17">
      <c r="A268" t="str">
        <f>tbl_data[[#This Row],[Customer_ID]]</f>
        <v>CUST-267</v>
      </c>
      <c r="B268" t="str">
        <f>tbl_data[[#This Row],[Customer_Type]]</f>
        <v>Business</v>
      </c>
      <c r="C268" t="str">
        <f>tbl_data[[#This Row],[Country]]</f>
        <v>UAE</v>
      </c>
      <c r="D268" t="str">
        <f>tbl_data[[#This Row],[Industry]]</f>
        <v>Import/Export</v>
      </c>
      <c r="E268">
        <f>tbl_data[[#This Row],[Tx_Count_30D]]</f>
        <v>23</v>
      </c>
      <c r="F268">
        <f>tbl_data[[#This Row],[Total_Amount_30D]]</f>
        <v>105261</v>
      </c>
      <c r="G268">
        <f>tbl_data[[#This Row],[Avg_Tx_Count_6M]]</f>
        <v>12</v>
      </c>
      <c r="H268">
        <f>tbl_data[[#This Row],[Avg_Total_Amount_6M]]</f>
        <v>50979</v>
      </c>
      <c r="I268">
        <f>IFERROR(tbl_Data2[[#This Row],[Tx_Count_30D]]/tbl_Data2[[#This Row],[Avg_Tx_Count_6M]],0)</f>
        <v>1.9166666666666667</v>
      </c>
      <c r="J268">
        <f>IFERROR(tbl_Data2[[#This Row],[Total_Amount_30D]]/tbl_Data2[[#This Row],[Avg_Total_Amount_6M]],0)</f>
        <v>2.0647913846878128</v>
      </c>
      <c r="K268">
        <f>_xlfn.XLOOKUP(tbl_Data2[[#This Row],[Country]], Geo_Map[Country], Geo_Map[Score], 5)</f>
        <v>6</v>
      </c>
      <c r="L268" cm="1">
        <f t="array" ref="L268">_xlfn.IFS(tbl_Data2[[#This Row],[Tx_Count_30D]]&lt;=5,2,tbl_Data2[[#This Row],[Tx_Count_30D]]&lt;=15,5,tbl_Data2[[#This Row],[Tx_Count_30D]]&lt;=30,7,tbl_Data2[[#This Row],[Tx_Count_30D]]&gt;30,9)</f>
        <v>7</v>
      </c>
      <c r="M268" cm="1">
        <f t="array" ref="M268">_xlfn.IFS(
tbl_Data2[[#This Row],[Total_Amount_30D]]&lt;10000,2,
tbl_Data2[[#This Row],[Total_Amount_30D]]&lt;25000,5,
tbl_Data2[[#This Row],[Total_Amount_30D]]&lt;50000,7,
tbl_Data2[[#This Row],[Total_Amount_30D]]&gt;=50000,9
)</f>
        <v>9</v>
      </c>
      <c r="N268" cm="1">
        <f t="array" ref="N268">_xlfn.IFS(
tbl_Data2[[#This Row],[Amount_Deviation]]&lt;1.5,2,
tbl_Data2[[#This Row],[Amount_Deviation]]&lt;3,6,
tbl_Data2[[#This Row],[Amount_Deviation]]&lt;6,8,
tbl_Data2[[#This Row],[Amount_Deviation]]&gt;=6,10
)</f>
        <v>6</v>
      </c>
      <c r="O268">
        <f>ROUND(
    (tbl_Data2[[#This Row],[Geo_Score]]*0.2) +
    (tbl_Data2[[#This Row],[Velocity_Score]]*0.25) +
    (tbl_Data2[[#This Row],[Volume_Score]]*0.25) +
    (tbl_Data2[[#This Row],[Deviation_Score]]*0.3),
1
)</f>
        <v>7</v>
      </c>
      <c r="P268" t="str" cm="1">
        <f t="array" ref="P268">_xlfn.IFS(
tbl_Data2[[#This Row],[Final_Risk_Score]]&lt;5.5,"Low",
tbl_Data2[[#This Row],[Final_Risk_Score]]&lt;7.5,"Medium",
tbl_Data2[[#This Row],[Final_Risk_Score]]&gt;=7.5,"High"
)</f>
        <v>Medium</v>
      </c>
      <c r="Q268" t="str" cm="1">
        <f t="array" ref="Q268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69" spans="1:17">
      <c r="A269" t="str">
        <f>tbl_data[[#This Row],[Customer_ID]]</f>
        <v>CUST-268</v>
      </c>
      <c r="B269" t="str">
        <f>tbl_data[[#This Row],[Customer_Type]]</f>
        <v>Business</v>
      </c>
      <c r="C269" t="str">
        <f>tbl_data[[#This Row],[Country]]</f>
        <v>Seychelles</v>
      </c>
      <c r="D269" t="str">
        <f>tbl_data[[#This Row],[Industry]]</f>
        <v>Consulting</v>
      </c>
      <c r="E269">
        <f>tbl_data[[#This Row],[Tx_Count_30D]]</f>
        <v>5</v>
      </c>
      <c r="F269">
        <f>tbl_data[[#This Row],[Total_Amount_30D]]</f>
        <v>103466</v>
      </c>
      <c r="G269">
        <f>tbl_data[[#This Row],[Avg_Tx_Count_6M]]</f>
        <v>1</v>
      </c>
      <c r="H269">
        <f>tbl_data[[#This Row],[Avg_Total_Amount_6M]]</f>
        <v>45864</v>
      </c>
      <c r="I269">
        <f>IFERROR(tbl_Data2[[#This Row],[Tx_Count_30D]]/tbl_Data2[[#This Row],[Avg_Tx_Count_6M]],0)</f>
        <v>5</v>
      </c>
      <c r="J269">
        <f>IFERROR(tbl_Data2[[#This Row],[Total_Amount_30D]]/tbl_Data2[[#This Row],[Avg_Total_Amount_6M]],0)</f>
        <v>2.2559305773591487</v>
      </c>
      <c r="K269">
        <f>_xlfn.XLOOKUP(tbl_Data2[[#This Row],[Country]], Geo_Map[Country], Geo_Map[Score], 5)</f>
        <v>9</v>
      </c>
      <c r="L269" cm="1">
        <f t="array" ref="L269">_xlfn.IFS(tbl_Data2[[#This Row],[Tx_Count_30D]]&lt;=5,2,tbl_Data2[[#This Row],[Tx_Count_30D]]&lt;=15,5,tbl_Data2[[#This Row],[Tx_Count_30D]]&lt;=30,7,tbl_Data2[[#This Row],[Tx_Count_30D]]&gt;30,9)</f>
        <v>2</v>
      </c>
      <c r="M269" cm="1">
        <f t="array" ref="M269">_xlfn.IFS(
tbl_Data2[[#This Row],[Total_Amount_30D]]&lt;10000,2,
tbl_Data2[[#This Row],[Total_Amount_30D]]&lt;25000,5,
tbl_Data2[[#This Row],[Total_Amount_30D]]&lt;50000,7,
tbl_Data2[[#This Row],[Total_Amount_30D]]&gt;=50000,9
)</f>
        <v>9</v>
      </c>
      <c r="N269" cm="1">
        <f t="array" ref="N269">_xlfn.IFS(
tbl_Data2[[#This Row],[Amount_Deviation]]&lt;1.5,2,
tbl_Data2[[#This Row],[Amount_Deviation]]&lt;3,6,
tbl_Data2[[#This Row],[Amount_Deviation]]&lt;6,8,
tbl_Data2[[#This Row],[Amount_Deviation]]&gt;=6,10
)</f>
        <v>6</v>
      </c>
      <c r="O269">
        <f>ROUND(
    (tbl_Data2[[#This Row],[Geo_Score]]*0.2) +
    (tbl_Data2[[#This Row],[Velocity_Score]]*0.25) +
    (tbl_Data2[[#This Row],[Volume_Score]]*0.25) +
    (tbl_Data2[[#This Row],[Deviation_Score]]*0.3),
1
)</f>
        <v>6.4</v>
      </c>
      <c r="P269" t="str" cm="1">
        <f t="array" ref="P269">_xlfn.IFS(
tbl_Data2[[#This Row],[Final_Risk_Score]]&lt;5.5,"Low",
tbl_Data2[[#This Row],[Final_Risk_Score]]&lt;7.5,"Medium",
tbl_Data2[[#This Row],[Final_Risk_Score]]&gt;=7.5,"High"
)</f>
        <v>Medium</v>
      </c>
      <c r="Q269" t="str" cm="1">
        <f t="array" ref="Q269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70" spans="1:17">
      <c r="A270" t="str">
        <f>tbl_data[[#This Row],[Customer_ID]]</f>
        <v>CUST-269</v>
      </c>
      <c r="B270" t="str">
        <f>tbl_data[[#This Row],[Customer_Type]]</f>
        <v>Individual</v>
      </c>
      <c r="C270" t="str">
        <f>tbl_data[[#This Row],[Country]]</f>
        <v>Panama</v>
      </c>
      <c r="D270" t="str">
        <f>tbl_data[[#This Row],[Industry]]</f>
        <v>Trading</v>
      </c>
      <c r="E270">
        <f>tbl_data[[#This Row],[Tx_Count_30D]]</f>
        <v>29</v>
      </c>
      <c r="F270">
        <f>tbl_data[[#This Row],[Total_Amount_30D]]</f>
        <v>98728</v>
      </c>
      <c r="G270">
        <f>tbl_data[[#This Row],[Avg_Tx_Count_6M]]</f>
        <v>38</v>
      </c>
      <c r="H270">
        <f>tbl_data[[#This Row],[Avg_Total_Amount_6M]]</f>
        <v>63122</v>
      </c>
      <c r="I270">
        <f>IFERROR(tbl_Data2[[#This Row],[Tx_Count_30D]]/tbl_Data2[[#This Row],[Avg_Tx_Count_6M]],0)</f>
        <v>0.76315789473684215</v>
      </c>
      <c r="J270">
        <f>IFERROR(tbl_Data2[[#This Row],[Total_Amount_30D]]/tbl_Data2[[#This Row],[Avg_Total_Amount_6M]],0)</f>
        <v>1.5640822534140237</v>
      </c>
      <c r="K270">
        <f>_xlfn.XLOOKUP(tbl_Data2[[#This Row],[Country]], Geo_Map[Country], Geo_Map[Score], 5)</f>
        <v>8</v>
      </c>
      <c r="L270" cm="1">
        <f t="array" ref="L270">_xlfn.IFS(tbl_Data2[[#This Row],[Tx_Count_30D]]&lt;=5,2,tbl_Data2[[#This Row],[Tx_Count_30D]]&lt;=15,5,tbl_Data2[[#This Row],[Tx_Count_30D]]&lt;=30,7,tbl_Data2[[#This Row],[Tx_Count_30D]]&gt;30,9)</f>
        <v>7</v>
      </c>
      <c r="M270" cm="1">
        <f t="array" ref="M270">_xlfn.IFS(
tbl_Data2[[#This Row],[Total_Amount_30D]]&lt;10000,2,
tbl_Data2[[#This Row],[Total_Amount_30D]]&lt;25000,5,
tbl_Data2[[#This Row],[Total_Amount_30D]]&lt;50000,7,
tbl_Data2[[#This Row],[Total_Amount_30D]]&gt;=50000,9
)</f>
        <v>9</v>
      </c>
      <c r="N270" cm="1">
        <f t="array" ref="N270">_xlfn.IFS(
tbl_Data2[[#This Row],[Amount_Deviation]]&lt;1.5,2,
tbl_Data2[[#This Row],[Amount_Deviation]]&lt;3,6,
tbl_Data2[[#This Row],[Amount_Deviation]]&lt;6,8,
tbl_Data2[[#This Row],[Amount_Deviation]]&gt;=6,10
)</f>
        <v>6</v>
      </c>
      <c r="O270">
        <f>ROUND(
    (tbl_Data2[[#This Row],[Geo_Score]]*0.2) +
    (tbl_Data2[[#This Row],[Velocity_Score]]*0.25) +
    (tbl_Data2[[#This Row],[Volume_Score]]*0.25) +
    (tbl_Data2[[#This Row],[Deviation_Score]]*0.3),
1
)</f>
        <v>7.4</v>
      </c>
      <c r="P270" t="str" cm="1">
        <f t="array" ref="P270">_xlfn.IFS(
tbl_Data2[[#This Row],[Final_Risk_Score]]&lt;5.5,"Low",
tbl_Data2[[#This Row],[Final_Risk_Score]]&lt;7.5,"Medium",
tbl_Data2[[#This Row],[Final_Risk_Score]]&gt;=7.5,"High"
)</f>
        <v>Medium</v>
      </c>
      <c r="Q270" t="str" cm="1">
        <f t="array" ref="Q270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71" spans="1:17" hidden="1">
      <c r="A271" t="str">
        <f>tbl_data[[#This Row],[Customer_ID]]</f>
        <v>CUST-270</v>
      </c>
      <c r="B271" t="str">
        <f>tbl_data[[#This Row],[Customer_Type]]</f>
        <v>Business</v>
      </c>
      <c r="C271" t="str">
        <f>tbl_data[[#This Row],[Country]]</f>
        <v>Cyprus</v>
      </c>
      <c r="D271" t="str">
        <f>tbl_data[[#This Row],[Industry]]</f>
        <v>Manufacturing</v>
      </c>
      <c r="E271">
        <f>tbl_data[[#This Row],[Tx_Count_30D]]</f>
        <v>3</v>
      </c>
      <c r="F271">
        <f>tbl_data[[#This Row],[Total_Amount_30D]]</f>
        <v>60232</v>
      </c>
      <c r="G271">
        <f>tbl_data[[#This Row],[Avg_Tx_Count_6M]]</f>
        <v>25</v>
      </c>
      <c r="H271">
        <f>tbl_data[[#This Row],[Avg_Total_Amount_6M]]</f>
        <v>59650</v>
      </c>
      <c r="I271">
        <f>IFERROR(tbl_Data2[[#This Row],[Tx_Count_30D]]/tbl_Data2[[#This Row],[Avg_Tx_Count_6M]],0)</f>
        <v>0.12</v>
      </c>
      <c r="J271">
        <f>IFERROR(tbl_Data2[[#This Row],[Total_Amount_30D]]/tbl_Data2[[#This Row],[Avg_Total_Amount_6M]],0)</f>
        <v>1.0097569153394803</v>
      </c>
      <c r="K271">
        <f>_xlfn.XLOOKUP(tbl_Data2[[#This Row],[Country]], Geo_Map[Country], Geo_Map[Score], 5)</f>
        <v>7</v>
      </c>
      <c r="L271" cm="1">
        <f t="array" ref="L271">_xlfn.IFS(tbl_Data2[[#This Row],[Tx_Count_30D]]&lt;=5,2,tbl_Data2[[#This Row],[Tx_Count_30D]]&lt;=15,5,tbl_Data2[[#This Row],[Tx_Count_30D]]&lt;=30,7,tbl_Data2[[#This Row],[Tx_Count_30D]]&gt;30,9)</f>
        <v>2</v>
      </c>
      <c r="M271" cm="1">
        <f t="array" ref="M271">_xlfn.IFS(
tbl_Data2[[#This Row],[Total_Amount_30D]]&lt;10000,2,
tbl_Data2[[#This Row],[Total_Amount_30D]]&lt;25000,5,
tbl_Data2[[#This Row],[Total_Amount_30D]]&lt;50000,7,
tbl_Data2[[#This Row],[Total_Amount_30D]]&gt;=50000,9
)</f>
        <v>9</v>
      </c>
      <c r="N271" cm="1">
        <f t="array" ref="N271">_xlfn.IFS(
tbl_Data2[[#This Row],[Amount_Deviation]]&lt;1.5,2,
tbl_Data2[[#This Row],[Amount_Deviation]]&lt;3,6,
tbl_Data2[[#This Row],[Amount_Deviation]]&lt;6,8,
tbl_Data2[[#This Row],[Amount_Deviation]]&gt;=6,10
)</f>
        <v>2</v>
      </c>
      <c r="O271">
        <f>ROUND(
    (tbl_Data2[[#This Row],[Geo_Score]]*0.2) +
    (tbl_Data2[[#This Row],[Velocity_Score]]*0.25) +
    (tbl_Data2[[#This Row],[Volume_Score]]*0.25) +
    (tbl_Data2[[#This Row],[Deviation_Score]]*0.3),
1
)</f>
        <v>4.8</v>
      </c>
      <c r="P271" t="str" cm="1">
        <f t="array" ref="P271">_xlfn.IFS(
tbl_Data2[[#This Row],[Final_Risk_Score]]&lt;5.5,"Low",
tbl_Data2[[#This Row],[Final_Risk_Score]]&lt;7.5,"Medium",
tbl_Data2[[#This Row],[Final_Risk_Score]]&gt;=7.5,"High"
)</f>
        <v>Low</v>
      </c>
      <c r="Q271" t="str" cm="1">
        <f t="array" ref="Q271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272" spans="1:17" hidden="1">
      <c r="A272" t="str">
        <f>tbl_data[[#This Row],[Customer_ID]]</f>
        <v>CUST-271</v>
      </c>
      <c r="B272" t="str">
        <f>tbl_data[[#This Row],[Customer_Type]]</f>
        <v>Individual</v>
      </c>
      <c r="C272" t="str">
        <f>tbl_data[[#This Row],[Country]]</f>
        <v>UAE</v>
      </c>
      <c r="D272" t="str">
        <f>tbl_data[[#This Row],[Industry]]</f>
        <v>IT Services</v>
      </c>
      <c r="E272">
        <f>tbl_data[[#This Row],[Tx_Count_30D]]</f>
        <v>50</v>
      </c>
      <c r="F272">
        <f>tbl_data[[#This Row],[Total_Amount_30D]]</f>
        <v>101435</v>
      </c>
      <c r="G272">
        <f>tbl_data[[#This Row],[Avg_Tx_Count_6M]]</f>
        <v>2</v>
      </c>
      <c r="H272">
        <f>tbl_data[[#This Row],[Avg_Total_Amount_6M]]</f>
        <v>16968</v>
      </c>
      <c r="I272">
        <f>IFERROR(tbl_Data2[[#This Row],[Tx_Count_30D]]/tbl_Data2[[#This Row],[Avg_Tx_Count_6M]],0)</f>
        <v>25</v>
      </c>
      <c r="J272">
        <f>IFERROR(tbl_Data2[[#This Row],[Total_Amount_30D]]/tbl_Data2[[#This Row],[Avg_Total_Amount_6M]],0)</f>
        <v>5.978017444601603</v>
      </c>
      <c r="K272">
        <f>_xlfn.XLOOKUP(tbl_Data2[[#This Row],[Country]], Geo_Map[Country], Geo_Map[Score], 5)</f>
        <v>6</v>
      </c>
      <c r="L272" cm="1">
        <f t="array" ref="L272">_xlfn.IFS(tbl_Data2[[#This Row],[Tx_Count_30D]]&lt;=5,2,tbl_Data2[[#This Row],[Tx_Count_30D]]&lt;=15,5,tbl_Data2[[#This Row],[Tx_Count_30D]]&lt;=30,7,tbl_Data2[[#This Row],[Tx_Count_30D]]&gt;30,9)</f>
        <v>9</v>
      </c>
      <c r="M272" cm="1">
        <f t="array" ref="M272">_xlfn.IFS(
tbl_Data2[[#This Row],[Total_Amount_30D]]&lt;10000,2,
tbl_Data2[[#This Row],[Total_Amount_30D]]&lt;25000,5,
tbl_Data2[[#This Row],[Total_Amount_30D]]&lt;50000,7,
tbl_Data2[[#This Row],[Total_Amount_30D]]&gt;=50000,9
)</f>
        <v>9</v>
      </c>
      <c r="N272" cm="1">
        <f t="array" ref="N272">_xlfn.IFS(
tbl_Data2[[#This Row],[Amount_Deviation]]&lt;1.5,2,
tbl_Data2[[#This Row],[Amount_Deviation]]&lt;3,6,
tbl_Data2[[#This Row],[Amount_Deviation]]&lt;6,8,
tbl_Data2[[#This Row],[Amount_Deviation]]&gt;=6,10
)</f>
        <v>8</v>
      </c>
      <c r="O272">
        <f>ROUND(
    (tbl_Data2[[#This Row],[Geo_Score]]*0.2) +
    (tbl_Data2[[#This Row],[Velocity_Score]]*0.25) +
    (tbl_Data2[[#This Row],[Volume_Score]]*0.25) +
    (tbl_Data2[[#This Row],[Deviation_Score]]*0.3),
1
)</f>
        <v>8.1</v>
      </c>
      <c r="P272" t="str" cm="1">
        <f t="array" ref="P272">_xlfn.IFS(
tbl_Data2[[#This Row],[Final_Risk_Score]]&lt;5.5,"Low",
tbl_Data2[[#This Row],[Final_Risk_Score]]&lt;7.5,"Medium",
tbl_Data2[[#This Row],[Final_Risk_Score]]&gt;=7.5,"High"
)</f>
        <v>High</v>
      </c>
      <c r="Q272" t="str" cm="1">
        <f t="array" ref="Q272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273" spans="1:17">
      <c r="A273" t="str">
        <f>tbl_data[[#This Row],[Customer_ID]]</f>
        <v>CUST-272</v>
      </c>
      <c r="B273" t="str">
        <f>tbl_data[[#This Row],[Customer_Type]]</f>
        <v>Business</v>
      </c>
      <c r="C273" t="str">
        <f>tbl_data[[#This Row],[Country]]</f>
        <v>Panama</v>
      </c>
      <c r="D273" t="str">
        <f>tbl_data[[#This Row],[Industry]]</f>
        <v>Logistics</v>
      </c>
      <c r="E273">
        <f>tbl_data[[#This Row],[Tx_Count_30D]]</f>
        <v>34</v>
      </c>
      <c r="F273">
        <f>tbl_data[[#This Row],[Total_Amount_30D]]</f>
        <v>42088</v>
      </c>
      <c r="G273">
        <f>tbl_data[[#This Row],[Avg_Tx_Count_6M]]</f>
        <v>18</v>
      </c>
      <c r="H273">
        <f>tbl_data[[#This Row],[Avg_Total_Amount_6M]]</f>
        <v>24734</v>
      </c>
      <c r="I273">
        <f>IFERROR(tbl_Data2[[#This Row],[Tx_Count_30D]]/tbl_Data2[[#This Row],[Avg_Tx_Count_6M]],0)</f>
        <v>1.8888888888888888</v>
      </c>
      <c r="J273">
        <f>IFERROR(tbl_Data2[[#This Row],[Total_Amount_30D]]/tbl_Data2[[#This Row],[Avg_Total_Amount_6M]],0)</f>
        <v>1.7016252931187839</v>
      </c>
      <c r="K273">
        <f>_xlfn.XLOOKUP(tbl_Data2[[#This Row],[Country]], Geo_Map[Country], Geo_Map[Score], 5)</f>
        <v>8</v>
      </c>
      <c r="L273" cm="1">
        <f t="array" ref="L273">_xlfn.IFS(tbl_Data2[[#This Row],[Tx_Count_30D]]&lt;=5,2,tbl_Data2[[#This Row],[Tx_Count_30D]]&lt;=15,5,tbl_Data2[[#This Row],[Tx_Count_30D]]&lt;=30,7,tbl_Data2[[#This Row],[Tx_Count_30D]]&gt;30,9)</f>
        <v>9</v>
      </c>
      <c r="M273" cm="1">
        <f t="array" ref="M273">_xlfn.IFS(
tbl_Data2[[#This Row],[Total_Amount_30D]]&lt;10000,2,
tbl_Data2[[#This Row],[Total_Amount_30D]]&lt;25000,5,
tbl_Data2[[#This Row],[Total_Amount_30D]]&lt;50000,7,
tbl_Data2[[#This Row],[Total_Amount_30D]]&gt;=50000,9
)</f>
        <v>7</v>
      </c>
      <c r="N273" cm="1">
        <f t="array" ref="N273">_xlfn.IFS(
tbl_Data2[[#This Row],[Amount_Deviation]]&lt;1.5,2,
tbl_Data2[[#This Row],[Amount_Deviation]]&lt;3,6,
tbl_Data2[[#This Row],[Amount_Deviation]]&lt;6,8,
tbl_Data2[[#This Row],[Amount_Deviation]]&gt;=6,10
)</f>
        <v>6</v>
      </c>
      <c r="O273">
        <f>ROUND(
    (tbl_Data2[[#This Row],[Geo_Score]]*0.2) +
    (tbl_Data2[[#This Row],[Velocity_Score]]*0.25) +
    (tbl_Data2[[#This Row],[Volume_Score]]*0.25) +
    (tbl_Data2[[#This Row],[Deviation_Score]]*0.3),
1
)</f>
        <v>7.4</v>
      </c>
      <c r="P273" t="str" cm="1">
        <f t="array" ref="P273">_xlfn.IFS(
tbl_Data2[[#This Row],[Final_Risk_Score]]&lt;5.5,"Low",
tbl_Data2[[#This Row],[Final_Risk_Score]]&lt;7.5,"Medium",
tbl_Data2[[#This Row],[Final_Risk_Score]]&gt;=7.5,"High"
)</f>
        <v>Medium</v>
      </c>
      <c r="Q273" t="str" cm="1">
        <f t="array" ref="Q273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74" spans="1:17" hidden="1">
      <c r="A274" t="str">
        <f>tbl_data[[#This Row],[Customer_ID]]</f>
        <v>CUST-273</v>
      </c>
      <c r="B274" t="str">
        <f>tbl_data[[#This Row],[Customer_Type]]</f>
        <v>Business</v>
      </c>
      <c r="C274" t="str">
        <f>tbl_data[[#This Row],[Country]]</f>
        <v>Seychelles</v>
      </c>
      <c r="D274" t="str">
        <f>tbl_data[[#This Row],[Industry]]</f>
        <v>IT Services</v>
      </c>
      <c r="E274">
        <f>tbl_data[[#This Row],[Tx_Count_30D]]</f>
        <v>42</v>
      </c>
      <c r="F274">
        <f>tbl_data[[#This Row],[Total_Amount_30D]]</f>
        <v>72249</v>
      </c>
      <c r="G274">
        <f>tbl_data[[#This Row],[Avg_Tx_Count_6M]]</f>
        <v>19</v>
      </c>
      <c r="H274">
        <f>tbl_data[[#This Row],[Avg_Total_Amount_6M]]</f>
        <v>10512</v>
      </c>
      <c r="I274">
        <f>IFERROR(tbl_Data2[[#This Row],[Tx_Count_30D]]/tbl_Data2[[#This Row],[Avg_Tx_Count_6M]],0)</f>
        <v>2.2105263157894739</v>
      </c>
      <c r="J274">
        <f>IFERROR(tbl_Data2[[#This Row],[Total_Amount_30D]]/tbl_Data2[[#This Row],[Avg_Total_Amount_6M]],0)</f>
        <v>6.8730022831050226</v>
      </c>
      <c r="K274">
        <f>_xlfn.XLOOKUP(tbl_Data2[[#This Row],[Country]], Geo_Map[Country], Geo_Map[Score], 5)</f>
        <v>9</v>
      </c>
      <c r="L274" cm="1">
        <f t="array" ref="L274">_xlfn.IFS(tbl_Data2[[#This Row],[Tx_Count_30D]]&lt;=5,2,tbl_Data2[[#This Row],[Tx_Count_30D]]&lt;=15,5,tbl_Data2[[#This Row],[Tx_Count_30D]]&lt;=30,7,tbl_Data2[[#This Row],[Tx_Count_30D]]&gt;30,9)</f>
        <v>9</v>
      </c>
      <c r="M274" cm="1">
        <f t="array" ref="M274">_xlfn.IFS(
tbl_Data2[[#This Row],[Total_Amount_30D]]&lt;10000,2,
tbl_Data2[[#This Row],[Total_Amount_30D]]&lt;25000,5,
tbl_Data2[[#This Row],[Total_Amount_30D]]&lt;50000,7,
tbl_Data2[[#This Row],[Total_Amount_30D]]&gt;=50000,9
)</f>
        <v>9</v>
      </c>
      <c r="N274" cm="1">
        <f t="array" ref="N274">_xlfn.IFS(
tbl_Data2[[#This Row],[Amount_Deviation]]&lt;1.5,2,
tbl_Data2[[#This Row],[Amount_Deviation]]&lt;3,6,
tbl_Data2[[#This Row],[Amount_Deviation]]&lt;6,8,
tbl_Data2[[#This Row],[Amount_Deviation]]&gt;=6,10
)</f>
        <v>10</v>
      </c>
      <c r="O274">
        <f>ROUND(
    (tbl_Data2[[#This Row],[Geo_Score]]*0.2) +
    (tbl_Data2[[#This Row],[Velocity_Score]]*0.25) +
    (tbl_Data2[[#This Row],[Volume_Score]]*0.25) +
    (tbl_Data2[[#This Row],[Deviation_Score]]*0.3),
1
)</f>
        <v>9.3000000000000007</v>
      </c>
      <c r="P274" t="str" cm="1">
        <f t="array" ref="P274">_xlfn.IFS(
tbl_Data2[[#This Row],[Final_Risk_Score]]&lt;5.5,"Low",
tbl_Data2[[#This Row],[Final_Risk_Score]]&lt;7.5,"Medium",
tbl_Data2[[#This Row],[Final_Risk_Score]]&gt;=7.5,"High"
)</f>
        <v>High</v>
      </c>
      <c r="Q274" t="str" cm="1">
        <f t="array" ref="Q274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275" spans="1:17">
      <c r="A275" t="str">
        <f>tbl_data[[#This Row],[Customer_ID]]</f>
        <v>CUST-274</v>
      </c>
      <c r="B275" t="str">
        <f>tbl_data[[#This Row],[Customer_Type]]</f>
        <v>Business</v>
      </c>
      <c r="C275" t="str">
        <f>tbl_data[[#This Row],[Country]]</f>
        <v>UAE</v>
      </c>
      <c r="D275" t="str">
        <f>tbl_data[[#This Row],[Industry]]</f>
        <v>IT Services</v>
      </c>
      <c r="E275">
        <f>tbl_data[[#This Row],[Tx_Count_30D]]</f>
        <v>11</v>
      </c>
      <c r="F275">
        <f>tbl_data[[#This Row],[Total_Amount_30D]]</f>
        <v>74141</v>
      </c>
      <c r="G275">
        <f>tbl_data[[#This Row],[Avg_Tx_Count_6M]]</f>
        <v>33</v>
      </c>
      <c r="H275">
        <f>tbl_data[[#This Row],[Avg_Total_Amount_6M]]</f>
        <v>32780</v>
      </c>
      <c r="I275">
        <f>IFERROR(tbl_Data2[[#This Row],[Tx_Count_30D]]/tbl_Data2[[#This Row],[Avg_Tx_Count_6M]],0)</f>
        <v>0.33333333333333331</v>
      </c>
      <c r="J275">
        <f>IFERROR(tbl_Data2[[#This Row],[Total_Amount_30D]]/tbl_Data2[[#This Row],[Avg_Total_Amount_6M]],0)</f>
        <v>2.2617754728492985</v>
      </c>
      <c r="K275">
        <f>_xlfn.XLOOKUP(tbl_Data2[[#This Row],[Country]], Geo_Map[Country], Geo_Map[Score], 5)</f>
        <v>6</v>
      </c>
      <c r="L275" cm="1">
        <f t="array" ref="L275">_xlfn.IFS(tbl_Data2[[#This Row],[Tx_Count_30D]]&lt;=5,2,tbl_Data2[[#This Row],[Tx_Count_30D]]&lt;=15,5,tbl_Data2[[#This Row],[Tx_Count_30D]]&lt;=30,7,tbl_Data2[[#This Row],[Tx_Count_30D]]&gt;30,9)</f>
        <v>5</v>
      </c>
      <c r="M275" cm="1">
        <f t="array" ref="M275">_xlfn.IFS(
tbl_Data2[[#This Row],[Total_Amount_30D]]&lt;10000,2,
tbl_Data2[[#This Row],[Total_Amount_30D]]&lt;25000,5,
tbl_Data2[[#This Row],[Total_Amount_30D]]&lt;50000,7,
tbl_Data2[[#This Row],[Total_Amount_30D]]&gt;=50000,9
)</f>
        <v>9</v>
      </c>
      <c r="N275" cm="1">
        <f t="array" ref="N275">_xlfn.IFS(
tbl_Data2[[#This Row],[Amount_Deviation]]&lt;1.5,2,
tbl_Data2[[#This Row],[Amount_Deviation]]&lt;3,6,
tbl_Data2[[#This Row],[Amount_Deviation]]&lt;6,8,
tbl_Data2[[#This Row],[Amount_Deviation]]&gt;=6,10
)</f>
        <v>6</v>
      </c>
      <c r="O275">
        <f>ROUND(
    (tbl_Data2[[#This Row],[Geo_Score]]*0.2) +
    (tbl_Data2[[#This Row],[Velocity_Score]]*0.25) +
    (tbl_Data2[[#This Row],[Volume_Score]]*0.25) +
    (tbl_Data2[[#This Row],[Deviation_Score]]*0.3),
1
)</f>
        <v>6.5</v>
      </c>
      <c r="P275" t="str" cm="1">
        <f t="array" ref="P275">_xlfn.IFS(
tbl_Data2[[#This Row],[Final_Risk_Score]]&lt;5.5,"Low",
tbl_Data2[[#This Row],[Final_Risk_Score]]&lt;7.5,"Medium",
tbl_Data2[[#This Row],[Final_Risk_Score]]&gt;=7.5,"High"
)</f>
        <v>Medium</v>
      </c>
      <c r="Q275" t="str" cm="1">
        <f t="array" ref="Q275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76" spans="1:17" hidden="1">
      <c r="A276" t="str">
        <f>tbl_data[[#This Row],[Customer_ID]]</f>
        <v>CUST-275</v>
      </c>
      <c r="B276" t="str">
        <f>tbl_data[[#This Row],[Customer_Type]]</f>
        <v>Business</v>
      </c>
      <c r="C276" t="str">
        <f>tbl_data[[#This Row],[Country]]</f>
        <v>Seychelles</v>
      </c>
      <c r="D276" t="str">
        <f>tbl_data[[#This Row],[Industry]]</f>
        <v>Logistics</v>
      </c>
      <c r="E276">
        <f>tbl_data[[#This Row],[Tx_Count_30D]]</f>
        <v>17</v>
      </c>
      <c r="F276">
        <f>tbl_data[[#This Row],[Total_Amount_30D]]</f>
        <v>84081</v>
      </c>
      <c r="G276">
        <f>tbl_data[[#This Row],[Avg_Tx_Count_6M]]</f>
        <v>27</v>
      </c>
      <c r="H276">
        <f>tbl_data[[#This Row],[Avg_Total_Amount_6M]]</f>
        <v>35231</v>
      </c>
      <c r="I276">
        <f>IFERROR(tbl_Data2[[#This Row],[Tx_Count_30D]]/tbl_Data2[[#This Row],[Avg_Tx_Count_6M]],0)</f>
        <v>0.62962962962962965</v>
      </c>
      <c r="J276">
        <f>IFERROR(tbl_Data2[[#This Row],[Total_Amount_30D]]/tbl_Data2[[#This Row],[Avg_Total_Amount_6M]],0)</f>
        <v>2.3865629701115494</v>
      </c>
      <c r="K276">
        <f>_xlfn.XLOOKUP(tbl_Data2[[#This Row],[Country]], Geo_Map[Country], Geo_Map[Score], 5)</f>
        <v>9</v>
      </c>
      <c r="L276" cm="1">
        <f t="array" ref="L276">_xlfn.IFS(tbl_Data2[[#This Row],[Tx_Count_30D]]&lt;=5,2,tbl_Data2[[#This Row],[Tx_Count_30D]]&lt;=15,5,tbl_Data2[[#This Row],[Tx_Count_30D]]&lt;=30,7,tbl_Data2[[#This Row],[Tx_Count_30D]]&gt;30,9)</f>
        <v>7</v>
      </c>
      <c r="M276" cm="1">
        <f t="array" ref="M276">_xlfn.IFS(
tbl_Data2[[#This Row],[Total_Amount_30D]]&lt;10000,2,
tbl_Data2[[#This Row],[Total_Amount_30D]]&lt;25000,5,
tbl_Data2[[#This Row],[Total_Amount_30D]]&lt;50000,7,
tbl_Data2[[#This Row],[Total_Amount_30D]]&gt;=50000,9
)</f>
        <v>9</v>
      </c>
      <c r="N276" cm="1">
        <f t="array" ref="N276">_xlfn.IFS(
tbl_Data2[[#This Row],[Amount_Deviation]]&lt;1.5,2,
tbl_Data2[[#This Row],[Amount_Deviation]]&lt;3,6,
tbl_Data2[[#This Row],[Amount_Deviation]]&lt;6,8,
tbl_Data2[[#This Row],[Amount_Deviation]]&gt;=6,10
)</f>
        <v>6</v>
      </c>
      <c r="O276">
        <f>ROUND(
    (tbl_Data2[[#This Row],[Geo_Score]]*0.2) +
    (tbl_Data2[[#This Row],[Velocity_Score]]*0.25) +
    (tbl_Data2[[#This Row],[Volume_Score]]*0.25) +
    (tbl_Data2[[#This Row],[Deviation_Score]]*0.3),
1
)</f>
        <v>7.6</v>
      </c>
      <c r="P276" t="str" cm="1">
        <f t="array" ref="P276">_xlfn.IFS(
tbl_Data2[[#This Row],[Final_Risk_Score]]&lt;5.5,"Low",
tbl_Data2[[#This Row],[Final_Risk_Score]]&lt;7.5,"Medium",
tbl_Data2[[#This Row],[Final_Risk_Score]]&gt;=7.5,"High"
)</f>
        <v>High</v>
      </c>
      <c r="Q276" t="str" cm="1">
        <f t="array" ref="Q276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277" spans="1:17">
      <c r="A277" t="str">
        <f>tbl_data[[#This Row],[Customer_ID]]</f>
        <v>CUST-276</v>
      </c>
      <c r="B277" t="str">
        <f>tbl_data[[#This Row],[Customer_Type]]</f>
        <v>Business</v>
      </c>
      <c r="C277" t="str">
        <f>tbl_data[[#This Row],[Country]]</f>
        <v>BVI</v>
      </c>
      <c r="D277" t="str">
        <f>tbl_data[[#This Row],[Industry]]</f>
        <v>Consulting</v>
      </c>
      <c r="E277">
        <f>tbl_data[[#This Row],[Tx_Count_30D]]</f>
        <v>50</v>
      </c>
      <c r="F277">
        <f>tbl_data[[#This Row],[Total_Amount_30D]]</f>
        <v>6869</v>
      </c>
      <c r="G277">
        <f>tbl_data[[#This Row],[Avg_Tx_Count_6M]]</f>
        <v>23</v>
      </c>
      <c r="H277">
        <f>tbl_data[[#This Row],[Avg_Total_Amount_6M]]</f>
        <v>4041</v>
      </c>
      <c r="I277">
        <f>IFERROR(tbl_Data2[[#This Row],[Tx_Count_30D]]/tbl_Data2[[#This Row],[Avg_Tx_Count_6M]],0)</f>
        <v>2.1739130434782608</v>
      </c>
      <c r="J277">
        <f>IFERROR(tbl_Data2[[#This Row],[Total_Amount_30D]]/tbl_Data2[[#This Row],[Avg_Total_Amount_6M]],0)</f>
        <v>1.6998267755506062</v>
      </c>
      <c r="K277">
        <f>_xlfn.XLOOKUP(tbl_Data2[[#This Row],[Country]], Geo_Map[Country], Geo_Map[Score], 5)</f>
        <v>9</v>
      </c>
      <c r="L277" cm="1">
        <f t="array" ref="L277">_xlfn.IFS(tbl_Data2[[#This Row],[Tx_Count_30D]]&lt;=5,2,tbl_Data2[[#This Row],[Tx_Count_30D]]&lt;=15,5,tbl_Data2[[#This Row],[Tx_Count_30D]]&lt;=30,7,tbl_Data2[[#This Row],[Tx_Count_30D]]&gt;30,9)</f>
        <v>9</v>
      </c>
      <c r="M277" cm="1">
        <f t="array" ref="M277">_xlfn.IFS(
tbl_Data2[[#This Row],[Total_Amount_30D]]&lt;10000,2,
tbl_Data2[[#This Row],[Total_Amount_30D]]&lt;25000,5,
tbl_Data2[[#This Row],[Total_Amount_30D]]&lt;50000,7,
tbl_Data2[[#This Row],[Total_Amount_30D]]&gt;=50000,9
)</f>
        <v>2</v>
      </c>
      <c r="N277" cm="1">
        <f t="array" ref="N277">_xlfn.IFS(
tbl_Data2[[#This Row],[Amount_Deviation]]&lt;1.5,2,
tbl_Data2[[#This Row],[Amount_Deviation]]&lt;3,6,
tbl_Data2[[#This Row],[Amount_Deviation]]&lt;6,8,
tbl_Data2[[#This Row],[Amount_Deviation]]&gt;=6,10
)</f>
        <v>6</v>
      </c>
      <c r="O277">
        <f>ROUND(
    (tbl_Data2[[#This Row],[Geo_Score]]*0.2) +
    (tbl_Data2[[#This Row],[Velocity_Score]]*0.25) +
    (tbl_Data2[[#This Row],[Volume_Score]]*0.25) +
    (tbl_Data2[[#This Row],[Deviation_Score]]*0.3),
1
)</f>
        <v>6.4</v>
      </c>
      <c r="P277" t="str" cm="1">
        <f t="array" ref="P277">_xlfn.IFS(
tbl_Data2[[#This Row],[Final_Risk_Score]]&lt;5.5,"Low",
tbl_Data2[[#This Row],[Final_Risk_Score]]&lt;7.5,"Medium",
tbl_Data2[[#This Row],[Final_Risk_Score]]&gt;=7.5,"High"
)</f>
        <v>Medium</v>
      </c>
      <c r="Q277" t="str" cm="1">
        <f t="array" ref="Q277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78" spans="1:17" hidden="1">
      <c r="A278" t="str">
        <f>tbl_data[[#This Row],[Customer_ID]]</f>
        <v>CUST-277</v>
      </c>
      <c r="B278" t="str">
        <f>tbl_data[[#This Row],[Customer_Type]]</f>
        <v>Business</v>
      </c>
      <c r="C278" t="str">
        <f>tbl_data[[#This Row],[Country]]</f>
        <v>Seychelles</v>
      </c>
      <c r="D278" t="str">
        <f>tbl_data[[#This Row],[Industry]]</f>
        <v>Manufacturing</v>
      </c>
      <c r="E278">
        <f>tbl_data[[#This Row],[Tx_Count_30D]]</f>
        <v>47</v>
      </c>
      <c r="F278">
        <f>tbl_data[[#This Row],[Total_Amount_30D]]</f>
        <v>97707</v>
      </c>
      <c r="G278">
        <f>tbl_data[[#This Row],[Avg_Tx_Count_6M]]</f>
        <v>28</v>
      </c>
      <c r="H278">
        <f>tbl_data[[#This Row],[Avg_Total_Amount_6M]]</f>
        <v>61872</v>
      </c>
      <c r="I278">
        <f>IFERROR(tbl_Data2[[#This Row],[Tx_Count_30D]]/tbl_Data2[[#This Row],[Avg_Tx_Count_6M]],0)</f>
        <v>1.6785714285714286</v>
      </c>
      <c r="J278">
        <f>IFERROR(tbl_Data2[[#This Row],[Total_Amount_30D]]/tbl_Data2[[#This Row],[Avg_Total_Amount_6M]],0)</f>
        <v>1.5791795965865012</v>
      </c>
      <c r="K278">
        <f>_xlfn.XLOOKUP(tbl_Data2[[#This Row],[Country]], Geo_Map[Country], Geo_Map[Score], 5)</f>
        <v>9</v>
      </c>
      <c r="L278" cm="1">
        <f t="array" ref="L278">_xlfn.IFS(tbl_Data2[[#This Row],[Tx_Count_30D]]&lt;=5,2,tbl_Data2[[#This Row],[Tx_Count_30D]]&lt;=15,5,tbl_Data2[[#This Row],[Tx_Count_30D]]&lt;=30,7,tbl_Data2[[#This Row],[Tx_Count_30D]]&gt;30,9)</f>
        <v>9</v>
      </c>
      <c r="M278" cm="1">
        <f t="array" ref="M278">_xlfn.IFS(
tbl_Data2[[#This Row],[Total_Amount_30D]]&lt;10000,2,
tbl_Data2[[#This Row],[Total_Amount_30D]]&lt;25000,5,
tbl_Data2[[#This Row],[Total_Amount_30D]]&lt;50000,7,
tbl_Data2[[#This Row],[Total_Amount_30D]]&gt;=50000,9
)</f>
        <v>9</v>
      </c>
      <c r="N278" cm="1">
        <f t="array" ref="N278">_xlfn.IFS(
tbl_Data2[[#This Row],[Amount_Deviation]]&lt;1.5,2,
tbl_Data2[[#This Row],[Amount_Deviation]]&lt;3,6,
tbl_Data2[[#This Row],[Amount_Deviation]]&lt;6,8,
tbl_Data2[[#This Row],[Amount_Deviation]]&gt;=6,10
)</f>
        <v>6</v>
      </c>
      <c r="O278">
        <f>ROUND(
    (tbl_Data2[[#This Row],[Geo_Score]]*0.2) +
    (tbl_Data2[[#This Row],[Velocity_Score]]*0.25) +
    (tbl_Data2[[#This Row],[Volume_Score]]*0.25) +
    (tbl_Data2[[#This Row],[Deviation_Score]]*0.3),
1
)</f>
        <v>8.1</v>
      </c>
      <c r="P278" t="str" cm="1">
        <f t="array" ref="P278">_xlfn.IFS(
tbl_Data2[[#This Row],[Final_Risk_Score]]&lt;5.5,"Low",
tbl_Data2[[#This Row],[Final_Risk_Score]]&lt;7.5,"Medium",
tbl_Data2[[#This Row],[Final_Risk_Score]]&gt;=7.5,"High"
)</f>
        <v>High</v>
      </c>
      <c r="Q278" t="str" cm="1">
        <f t="array" ref="Q278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279" spans="1:17" hidden="1">
      <c r="A279" t="str">
        <f>tbl_data[[#This Row],[Customer_ID]]</f>
        <v>CUST-278</v>
      </c>
      <c r="B279" t="str">
        <f>tbl_data[[#This Row],[Customer_Type]]</f>
        <v>Business</v>
      </c>
      <c r="C279" t="str">
        <f>tbl_data[[#This Row],[Country]]</f>
        <v>Seychelles</v>
      </c>
      <c r="D279" t="str">
        <f>tbl_data[[#This Row],[Industry]]</f>
        <v>IT Services</v>
      </c>
      <c r="E279">
        <f>tbl_data[[#This Row],[Tx_Count_30D]]</f>
        <v>33</v>
      </c>
      <c r="F279">
        <f>tbl_data[[#This Row],[Total_Amount_30D]]</f>
        <v>64731</v>
      </c>
      <c r="G279">
        <f>tbl_data[[#This Row],[Avg_Tx_Count_6M]]</f>
        <v>32</v>
      </c>
      <c r="H279">
        <f>tbl_data[[#This Row],[Avg_Total_Amount_6M]]</f>
        <v>23636</v>
      </c>
      <c r="I279">
        <f>IFERROR(tbl_Data2[[#This Row],[Tx_Count_30D]]/tbl_Data2[[#This Row],[Avg_Tx_Count_6M]],0)</f>
        <v>1.03125</v>
      </c>
      <c r="J279">
        <f>IFERROR(tbl_Data2[[#This Row],[Total_Amount_30D]]/tbl_Data2[[#This Row],[Avg_Total_Amount_6M]],0)</f>
        <v>2.7386613640209849</v>
      </c>
      <c r="K279">
        <f>_xlfn.XLOOKUP(tbl_Data2[[#This Row],[Country]], Geo_Map[Country], Geo_Map[Score], 5)</f>
        <v>9</v>
      </c>
      <c r="L279" cm="1">
        <f t="array" ref="L279">_xlfn.IFS(tbl_Data2[[#This Row],[Tx_Count_30D]]&lt;=5,2,tbl_Data2[[#This Row],[Tx_Count_30D]]&lt;=15,5,tbl_Data2[[#This Row],[Tx_Count_30D]]&lt;=30,7,tbl_Data2[[#This Row],[Tx_Count_30D]]&gt;30,9)</f>
        <v>9</v>
      </c>
      <c r="M279" cm="1">
        <f t="array" ref="M279">_xlfn.IFS(
tbl_Data2[[#This Row],[Total_Amount_30D]]&lt;10000,2,
tbl_Data2[[#This Row],[Total_Amount_30D]]&lt;25000,5,
tbl_Data2[[#This Row],[Total_Amount_30D]]&lt;50000,7,
tbl_Data2[[#This Row],[Total_Amount_30D]]&gt;=50000,9
)</f>
        <v>9</v>
      </c>
      <c r="N279" cm="1">
        <f t="array" ref="N279">_xlfn.IFS(
tbl_Data2[[#This Row],[Amount_Deviation]]&lt;1.5,2,
tbl_Data2[[#This Row],[Amount_Deviation]]&lt;3,6,
tbl_Data2[[#This Row],[Amount_Deviation]]&lt;6,8,
tbl_Data2[[#This Row],[Amount_Deviation]]&gt;=6,10
)</f>
        <v>6</v>
      </c>
      <c r="O279">
        <f>ROUND(
    (tbl_Data2[[#This Row],[Geo_Score]]*0.2) +
    (tbl_Data2[[#This Row],[Velocity_Score]]*0.25) +
    (tbl_Data2[[#This Row],[Volume_Score]]*0.25) +
    (tbl_Data2[[#This Row],[Deviation_Score]]*0.3),
1
)</f>
        <v>8.1</v>
      </c>
      <c r="P279" t="str" cm="1">
        <f t="array" ref="P279">_xlfn.IFS(
tbl_Data2[[#This Row],[Final_Risk_Score]]&lt;5.5,"Low",
tbl_Data2[[#This Row],[Final_Risk_Score]]&lt;7.5,"Medium",
tbl_Data2[[#This Row],[Final_Risk_Score]]&gt;=7.5,"High"
)</f>
        <v>High</v>
      </c>
      <c r="Q279" t="str" cm="1">
        <f t="array" ref="Q279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280" spans="1:17" hidden="1">
      <c r="A280" t="str">
        <f>tbl_data[[#This Row],[Customer_ID]]</f>
        <v>CUST-279</v>
      </c>
      <c r="B280" t="str">
        <f>tbl_data[[#This Row],[Customer_Type]]</f>
        <v>Business</v>
      </c>
      <c r="C280" t="str">
        <f>tbl_data[[#This Row],[Country]]</f>
        <v>USA</v>
      </c>
      <c r="D280" t="str">
        <f>tbl_data[[#This Row],[Industry]]</f>
        <v>IT Services</v>
      </c>
      <c r="E280">
        <f>tbl_data[[#This Row],[Tx_Count_30D]]</f>
        <v>33</v>
      </c>
      <c r="F280">
        <f>tbl_data[[#This Row],[Total_Amount_30D]]</f>
        <v>3049</v>
      </c>
      <c r="G280">
        <f>tbl_data[[#This Row],[Avg_Tx_Count_6M]]</f>
        <v>11</v>
      </c>
      <c r="H280">
        <f>tbl_data[[#This Row],[Avg_Total_Amount_6M]]</f>
        <v>18632</v>
      </c>
      <c r="I280">
        <f>IFERROR(tbl_Data2[[#This Row],[Tx_Count_30D]]/tbl_Data2[[#This Row],[Avg_Tx_Count_6M]],0)</f>
        <v>3</v>
      </c>
      <c r="J280">
        <f>IFERROR(tbl_Data2[[#This Row],[Total_Amount_30D]]/tbl_Data2[[#This Row],[Avg_Total_Amount_6M]],0)</f>
        <v>0.16364319450407899</v>
      </c>
      <c r="K280">
        <f>_xlfn.XLOOKUP(tbl_Data2[[#This Row],[Country]], Geo_Map[Country], Geo_Map[Score], 5)</f>
        <v>1</v>
      </c>
      <c r="L280" cm="1">
        <f t="array" ref="L280">_xlfn.IFS(tbl_Data2[[#This Row],[Tx_Count_30D]]&lt;=5,2,tbl_Data2[[#This Row],[Tx_Count_30D]]&lt;=15,5,tbl_Data2[[#This Row],[Tx_Count_30D]]&lt;=30,7,tbl_Data2[[#This Row],[Tx_Count_30D]]&gt;30,9)</f>
        <v>9</v>
      </c>
      <c r="M280" cm="1">
        <f t="array" ref="M280">_xlfn.IFS(
tbl_Data2[[#This Row],[Total_Amount_30D]]&lt;10000,2,
tbl_Data2[[#This Row],[Total_Amount_30D]]&lt;25000,5,
tbl_Data2[[#This Row],[Total_Amount_30D]]&lt;50000,7,
tbl_Data2[[#This Row],[Total_Amount_30D]]&gt;=50000,9
)</f>
        <v>2</v>
      </c>
      <c r="N280" cm="1">
        <f t="array" ref="N280">_xlfn.IFS(
tbl_Data2[[#This Row],[Amount_Deviation]]&lt;1.5,2,
tbl_Data2[[#This Row],[Amount_Deviation]]&lt;3,6,
tbl_Data2[[#This Row],[Amount_Deviation]]&lt;6,8,
tbl_Data2[[#This Row],[Amount_Deviation]]&gt;=6,10
)</f>
        <v>2</v>
      </c>
      <c r="O280">
        <f>ROUND(
    (tbl_Data2[[#This Row],[Geo_Score]]*0.2) +
    (tbl_Data2[[#This Row],[Velocity_Score]]*0.25) +
    (tbl_Data2[[#This Row],[Volume_Score]]*0.25) +
    (tbl_Data2[[#This Row],[Deviation_Score]]*0.3),
1
)</f>
        <v>3.6</v>
      </c>
      <c r="P280" t="str" cm="1">
        <f t="array" ref="P280">_xlfn.IFS(
tbl_Data2[[#This Row],[Final_Risk_Score]]&lt;5.5,"Low",
tbl_Data2[[#This Row],[Final_Risk_Score]]&lt;7.5,"Medium",
tbl_Data2[[#This Row],[Final_Risk_Score]]&gt;=7.5,"High"
)</f>
        <v>Low</v>
      </c>
      <c r="Q280" t="str" cm="1">
        <f t="array" ref="Q280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281" spans="1:17">
      <c r="A281" t="str">
        <f>tbl_data[[#This Row],[Customer_ID]]</f>
        <v>CUST-280</v>
      </c>
      <c r="B281" t="str">
        <f>tbl_data[[#This Row],[Customer_Type]]</f>
        <v>Individual</v>
      </c>
      <c r="C281" t="str">
        <f>tbl_data[[#This Row],[Country]]</f>
        <v>BVI</v>
      </c>
      <c r="D281" t="str">
        <f>tbl_data[[#This Row],[Industry]]</f>
        <v>Manufacturing</v>
      </c>
      <c r="E281">
        <f>tbl_data[[#This Row],[Tx_Count_30D]]</f>
        <v>8</v>
      </c>
      <c r="F281">
        <f>tbl_data[[#This Row],[Total_Amount_30D]]</f>
        <v>52895</v>
      </c>
      <c r="G281">
        <f>tbl_data[[#This Row],[Avg_Tx_Count_6M]]</f>
        <v>12</v>
      </c>
      <c r="H281">
        <f>tbl_data[[#This Row],[Avg_Total_Amount_6M]]</f>
        <v>47393</v>
      </c>
      <c r="I281">
        <f>IFERROR(tbl_Data2[[#This Row],[Tx_Count_30D]]/tbl_Data2[[#This Row],[Avg_Tx_Count_6M]],0)</f>
        <v>0.66666666666666663</v>
      </c>
      <c r="J281">
        <f>IFERROR(tbl_Data2[[#This Row],[Total_Amount_30D]]/tbl_Data2[[#This Row],[Avg_Total_Amount_6M]],0)</f>
        <v>1.1160930939168232</v>
      </c>
      <c r="K281">
        <f>_xlfn.XLOOKUP(tbl_Data2[[#This Row],[Country]], Geo_Map[Country], Geo_Map[Score], 5)</f>
        <v>9</v>
      </c>
      <c r="L281" cm="1">
        <f t="array" ref="L281">_xlfn.IFS(tbl_Data2[[#This Row],[Tx_Count_30D]]&lt;=5,2,tbl_Data2[[#This Row],[Tx_Count_30D]]&lt;=15,5,tbl_Data2[[#This Row],[Tx_Count_30D]]&lt;=30,7,tbl_Data2[[#This Row],[Tx_Count_30D]]&gt;30,9)</f>
        <v>5</v>
      </c>
      <c r="M281" cm="1">
        <f t="array" ref="M281">_xlfn.IFS(
tbl_Data2[[#This Row],[Total_Amount_30D]]&lt;10000,2,
tbl_Data2[[#This Row],[Total_Amount_30D]]&lt;25000,5,
tbl_Data2[[#This Row],[Total_Amount_30D]]&lt;50000,7,
tbl_Data2[[#This Row],[Total_Amount_30D]]&gt;=50000,9
)</f>
        <v>9</v>
      </c>
      <c r="N281" cm="1">
        <f t="array" ref="N281">_xlfn.IFS(
tbl_Data2[[#This Row],[Amount_Deviation]]&lt;1.5,2,
tbl_Data2[[#This Row],[Amount_Deviation]]&lt;3,6,
tbl_Data2[[#This Row],[Amount_Deviation]]&lt;6,8,
tbl_Data2[[#This Row],[Amount_Deviation]]&gt;=6,10
)</f>
        <v>2</v>
      </c>
      <c r="O281">
        <f>ROUND(
    (tbl_Data2[[#This Row],[Geo_Score]]*0.2) +
    (tbl_Data2[[#This Row],[Velocity_Score]]*0.25) +
    (tbl_Data2[[#This Row],[Volume_Score]]*0.25) +
    (tbl_Data2[[#This Row],[Deviation_Score]]*0.3),
1
)</f>
        <v>5.9</v>
      </c>
      <c r="P281" t="str" cm="1">
        <f t="array" ref="P281">_xlfn.IFS(
tbl_Data2[[#This Row],[Final_Risk_Score]]&lt;5.5,"Low",
tbl_Data2[[#This Row],[Final_Risk_Score]]&lt;7.5,"Medium",
tbl_Data2[[#This Row],[Final_Risk_Score]]&gt;=7.5,"High"
)</f>
        <v>Medium</v>
      </c>
      <c r="Q281" t="str" cm="1">
        <f t="array" ref="Q281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82" spans="1:17">
      <c r="A282" t="str">
        <f>tbl_data[[#This Row],[Customer_ID]]</f>
        <v>CUST-281</v>
      </c>
      <c r="B282" t="str">
        <f>tbl_data[[#This Row],[Customer_Type]]</f>
        <v>Individual</v>
      </c>
      <c r="C282" t="str">
        <f>tbl_data[[#This Row],[Country]]</f>
        <v>Panama</v>
      </c>
      <c r="D282" t="str">
        <f>tbl_data[[#This Row],[Industry]]</f>
        <v>Import/Export</v>
      </c>
      <c r="E282">
        <f>tbl_data[[#This Row],[Tx_Count_30D]]</f>
        <v>7</v>
      </c>
      <c r="F282">
        <f>tbl_data[[#This Row],[Total_Amount_30D]]</f>
        <v>97525</v>
      </c>
      <c r="G282">
        <f>tbl_data[[#This Row],[Avg_Tx_Count_6M]]</f>
        <v>26</v>
      </c>
      <c r="H282">
        <f>tbl_data[[#This Row],[Avg_Total_Amount_6M]]</f>
        <v>42853</v>
      </c>
      <c r="I282">
        <f>IFERROR(tbl_Data2[[#This Row],[Tx_Count_30D]]/tbl_Data2[[#This Row],[Avg_Tx_Count_6M]],0)</f>
        <v>0.26923076923076922</v>
      </c>
      <c r="J282">
        <f>IFERROR(tbl_Data2[[#This Row],[Total_Amount_30D]]/tbl_Data2[[#This Row],[Avg_Total_Amount_6M]],0)</f>
        <v>2.2758033276550065</v>
      </c>
      <c r="K282">
        <f>_xlfn.XLOOKUP(tbl_Data2[[#This Row],[Country]], Geo_Map[Country], Geo_Map[Score], 5)</f>
        <v>8</v>
      </c>
      <c r="L282" cm="1">
        <f t="array" ref="L282">_xlfn.IFS(tbl_Data2[[#This Row],[Tx_Count_30D]]&lt;=5,2,tbl_Data2[[#This Row],[Tx_Count_30D]]&lt;=15,5,tbl_Data2[[#This Row],[Tx_Count_30D]]&lt;=30,7,tbl_Data2[[#This Row],[Tx_Count_30D]]&gt;30,9)</f>
        <v>5</v>
      </c>
      <c r="M282" cm="1">
        <f t="array" ref="M282">_xlfn.IFS(
tbl_Data2[[#This Row],[Total_Amount_30D]]&lt;10000,2,
tbl_Data2[[#This Row],[Total_Amount_30D]]&lt;25000,5,
tbl_Data2[[#This Row],[Total_Amount_30D]]&lt;50000,7,
tbl_Data2[[#This Row],[Total_Amount_30D]]&gt;=50000,9
)</f>
        <v>9</v>
      </c>
      <c r="N282" cm="1">
        <f t="array" ref="N282">_xlfn.IFS(
tbl_Data2[[#This Row],[Amount_Deviation]]&lt;1.5,2,
tbl_Data2[[#This Row],[Amount_Deviation]]&lt;3,6,
tbl_Data2[[#This Row],[Amount_Deviation]]&lt;6,8,
tbl_Data2[[#This Row],[Amount_Deviation]]&gt;=6,10
)</f>
        <v>6</v>
      </c>
      <c r="O282">
        <f>ROUND(
    (tbl_Data2[[#This Row],[Geo_Score]]*0.2) +
    (tbl_Data2[[#This Row],[Velocity_Score]]*0.25) +
    (tbl_Data2[[#This Row],[Volume_Score]]*0.25) +
    (tbl_Data2[[#This Row],[Deviation_Score]]*0.3),
1
)</f>
        <v>6.9</v>
      </c>
      <c r="P282" t="str" cm="1">
        <f t="array" ref="P282">_xlfn.IFS(
tbl_Data2[[#This Row],[Final_Risk_Score]]&lt;5.5,"Low",
tbl_Data2[[#This Row],[Final_Risk_Score]]&lt;7.5,"Medium",
tbl_Data2[[#This Row],[Final_Risk_Score]]&gt;=7.5,"High"
)</f>
        <v>Medium</v>
      </c>
      <c r="Q282" t="str" cm="1">
        <f t="array" ref="Q282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83" spans="1:17" hidden="1">
      <c r="A283" t="str">
        <f>tbl_data[[#This Row],[Customer_ID]]</f>
        <v>CUST-282</v>
      </c>
      <c r="B283" t="str">
        <f>tbl_data[[#This Row],[Customer_Type]]</f>
        <v>Individual</v>
      </c>
      <c r="C283" t="str">
        <f>tbl_data[[#This Row],[Country]]</f>
        <v>BVI</v>
      </c>
      <c r="D283" t="str">
        <f>tbl_data[[#This Row],[Industry]]</f>
        <v>IT Services</v>
      </c>
      <c r="E283">
        <f>tbl_data[[#This Row],[Tx_Count_30D]]</f>
        <v>11</v>
      </c>
      <c r="F283">
        <f>tbl_data[[#This Row],[Total_Amount_30D]]</f>
        <v>14818</v>
      </c>
      <c r="G283">
        <f>tbl_data[[#This Row],[Avg_Tx_Count_6M]]</f>
        <v>9</v>
      </c>
      <c r="H283">
        <f>tbl_data[[#This Row],[Avg_Total_Amount_6M]]</f>
        <v>77555</v>
      </c>
      <c r="I283">
        <f>IFERROR(tbl_Data2[[#This Row],[Tx_Count_30D]]/tbl_Data2[[#This Row],[Avg_Tx_Count_6M]],0)</f>
        <v>1.2222222222222223</v>
      </c>
      <c r="J283">
        <f>IFERROR(tbl_Data2[[#This Row],[Total_Amount_30D]]/tbl_Data2[[#This Row],[Avg_Total_Amount_6M]],0)</f>
        <v>0.19106440590548643</v>
      </c>
      <c r="K283">
        <f>_xlfn.XLOOKUP(tbl_Data2[[#This Row],[Country]], Geo_Map[Country], Geo_Map[Score], 5)</f>
        <v>9</v>
      </c>
      <c r="L283" cm="1">
        <f t="array" ref="L283">_xlfn.IFS(tbl_Data2[[#This Row],[Tx_Count_30D]]&lt;=5,2,tbl_Data2[[#This Row],[Tx_Count_30D]]&lt;=15,5,tbl_Data2[[#This Row],[Tx_Count_30D]]&lt;=30,7,tbl_Data2[[#This Row],[Tx_Count_30D]]&gt;30,9)</f>
        <v>5</v>
      </c>
      <c r="M283" cm="1">
        <f t="array" ref="M283">_xlfn.IFS(
tbl_Data2[[#This Row],[Total_Amount_30D]]&lt;10000,2,
tbl_Data2[[#This Row],[Total_Amount_30D]]&lt;25000,5,
tbl_Data2[[#This Row],[Total_Amount_30D]]&lt;50000,7,
tbl_Data2[[#This Row],[Total_Amount_30D]]&gt;=50000,9
)</f>
        <v>5</v>
      </c>
      <c r="N283" cm="1">
        <f t="array" ref="N283">_xlfn.IFS(
tbl_Data2[[#This Row],[Amount_Deviation]]&lt;1.5,2,
tbl_Data2[[#This Row],[Amount_Deviation]]&lt;3,6,
tbl_Data2[[#This Row],[Amount_Deviation]]&lt;6,8,
tbl_Data2[[#This Row],[Amount_Deviation]]&gt;=6,10
)</f>
        <v>2</v>
      </c>
      <c r="O283">
        <f>ROUND(
    (tbl_Data2[[#This Row],[Geo_Score]]*0.2) +
    (tbl_Data2[[#This Row],[Velocity_Score]]*0.25) +
    (tbl_Data2[[#This Row],[Volume_Score]]*0.25) +
    (tbl_Data2[[#This Row],[Deviation_Score]]*0.3),
1
)</f>
        <v>4.9000000000000004</v>
      </c>
      <c r="P283" t="str" cm="1">
        <f t="array" ref="P283">_xlfn.IFS(
tbl_Data2[[#This Row],[Final_Risk_Score]]&lt;5.5,"Low",
tbl_Data2[[#This Row],[Final_Risk_Score]]&lt;7.5,"Medium",
tbl_Data2[[#This Row],[Final_Risk_Score]]&gt;=7.5,"High"
)</f>
        <v>Low</v>
      </c>
      <c r="Q283" t="str" cm="1">
        <f t="array" ref="Q283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284" spans="1:17">
      <c r="A284" t="str">
        <f>tbl_data[[#This Row],[Customer_ID]]</f>
        <v>CUST-283</v>
      </c>
      <c r="B284" t="str">
        <f>tbl_data[[#This Row],[Customer_Type]]</f>
        <v>Business</v>
      </c>
      <c r="C284" t="str">
        <f>tbl_data[[#This Row],[Country]]</f>
        <v>Hong Kong</v>
      </c>
      <c r="D284" t="str">
        <f>tbl_data[[#This Row],[Industry]]</f>
        <v>Logistics</v>
      </c>
      <c r="E284">
        <f>tbl_data[[#This Row],[Tx_Count_30D]]</f>
        <v>43</v>
      </c>
      <c r="F284">
        <f>tbl_data[[#This Row],[Total_Amount_30D]]</f>
        <v>63958</v>
      </c>
      <c r="G284">
        <f>tbl_data[[#This Row],[Avg_Tx_Count_6M]]</f>
        <v>3</v>
      </c>
      <c r="H284">
        <f>tbl_data[[#This Row],[Avg_Total_Amount_6M]]</f>
        <v>43705</v>
      </c>
      <c r="I284">
        <f>IFERROR(tbl_Data2[[#This Row],[Tx_Count_30D]]/tbl_Data2[[#This Row],[Avg_Tx_Count_6M]],0)</f>
        <v>14.333333333333334</v>
      </c>
      <c r="J284">
        <f>IFERROR(tbl_Data2[[#This Row],[Total_Amount_30D]]/tbl_Data2[[#This Row],[Avg_Total_Amount_6M]],0)</f>
        <v>1.4634023567097587</v>
      </c>
      <c r="K284">
        <f>_xlfn.XLOOKUP(tbl_Data2[[#This Row],[Country]], Geo_Map[Country], Geo_Map[Score], 5)</f>
        <v>6</v>
      </c>
      <c r="L284" cm="1">
        <f t="array" ref="L284">_xlfn.IFS(tbl_Data2[[#This Row],[Tx_Count_30D]]&lt;=5,2,tbl_Data2[[#This Row],[Tx_Count_30D]]&lt;=15,5,tbl_Data2[[#This Row],[Tx_Count_30D]]&lt;=30,7,tbl_Data2[[#This Row],[Tx_Count_30D]]&gt;30,9)</f>
        <v>9</v>
      </c>
      <c r="M284" cm="1">
        <f t="array" ref="M284">_xlfn.IFS(
tbl_Data2[[#This Row],[Total_Amount_30D]]&lt;10000,2,
tbl_Data2[[#This Row],[Total_Amount_30D]]&lt;25000,5,
tbl_Data2[[#This Row],[Total_Amount_30D]]&lt;50000,7,
tbl_Data2[[#This Row],[Total_Amount_30D]]&gt;=50000,9
)</f>
        <v>9</v>
      </c>
      <c r="N284" cm="1">
        <f t="array" ref="N284">_xlfn.IFS(
tbl_Data2[[#This Row],[Amount_Deviation]]&lt;1.5,2,
tbl_Data2[[#This Row],[Amount_Deviation]]&lt;3,6,
tbl_Data2[[#This Row],[Amount_Deviation]]&lt;6,8,
tbl_Data2[[#This Row],[Amount_Deviation]]&gt;=6,10
)</f>
        <v>2</v>
      </c>
      <c r="O284">
        <f>ROUND(
    (tbl_Data2[[#This Row],[Geo_Score]]*0.2) +
    (tbl_Data2[[#This Row],[Velocity_Score]]*0.25) +
    (tbl_Data2[[#This Row],[Volume_Score]]*0.25) +
    (tbl_Data2[[#This Row],[Deviation_Score]]*0.3),
1
)</f>
        <v>6.3</v>
      </c>
      <c r="P284" t="str" cm="1">
        <f t="array" ref="P284">_xlfn.IFS(
tbl_Data2[[#This Row],[Final_Risk_Score]]&lt;5.5,"Low",
tbl_Data2[[#This Row],[Final_Risk_Score]]&lt;7.5,"Medium",
tbl_Data2[[#This Row],[Final_Risk_Score]]&gt;=7.5,"High"
)</f>
        <v>Medium</v>
      </c>
      <c r="Q284" t="str" cm="1">
        <f t="array" ref="Q284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85" spans="1:17" hidden="1">
      <c r="A285" t="str">
        <f>tbl_data[[#This Row],[Customer_ID]]</f>
        <v>CUST-284</v>
      </c>
      <c r="B285" t="str">
        <f>tbl_data[[#This Row],[Customer_Type]]</f>
        <v>Business</v>
      </c>
      <c r="C285" t="str">
        <f>tbl_data[[#This Row],[Country]]</f>
        <v>Seychelles</v>
      </c>
      <c r="D285" t="str">
        <f>tbl_data[[#This Row],[Industry]]</f>
        <v>Consulting</v>
      </c>
      <c r="E285">
        <f>tbl_data[[#This Row],[Tx_Count_30D]]</f>
        <v>30</v>
      </c>
      <c r="F285">
        <f>tbl_data[[#This Row],[Total_Amount_30D]]</f>
        <v>78697</v>
      </c>
      <c r="G285">
        <f>tbl_data[[#This Row],[Avg_Tx_Count_6M]]</f>
        <v>20</v>
      </c>
      <c r="H285">
        <f>tbl_data[[#This Row],[Avg_Total_Amount_6M]]</f>
        <v>45613</v>
      </c>
      <c r="I285">
        <f>IFERROR(tbl_Data2[[#This Row],[Tx_Count_30D]]/tbl_Data2[[#This Row],[Avg_Tx_Count_6M]],0)</f>
        <v>1.5</v>
      </c>
      <c r="J285">
        <f>IFERROR(tbl_Data2[[#This Row],[Total_Amount_30D]]/tbl_Data2[[#This Row],[Avg_Total_Amount_6M]],0)</f>
        <v>1.7253195360971654</v>
      </c>
      <c r="K285">
        <f>_xlfn.XLOOKUP(tbl_Data2[[#This Row],[Country]], Geo_Map[Country], Geo_Map[Score], 5)</f>
        <v>9</v>
      </c>
      <c r="L285" cm="1">
        <f t="array" ref="L285">_xlfn.IFS(tbl_Data2[[#This Row],[Tx_Count_30D]]&lt;=5,2,tbl_Data2[[#This Row],[Tx_Count_30D]]&lt;=15,5,tbl_Data2[[#This Row],[Tx_Count_30D]]&lt;=30,7,tbl_Data2[[#This Row],[Tx_Count_30D]]&gt;30,9)</f>
        <v>7</v>
      </c>
      <c r="M285" cm="1">
        <f t="array" ref="M285">_xlfn.IFS(
tbl_Data2[[#This Row],[Total_Amount_30D]]&lt;10000,2,
tbl_Data2[[#This Row],[Total_Amount_30D]]&lt;25000,5,
tbl_Data2[[#This Row],[Total_Amount_30D]]&lt;50000,7,
tbl_Data2[[#This Row],[Total_Amount_30D]]&gt;=50000,9
)</f>
        <v>9</v>
      </c>
      <c r="N285" cm="1">
        <f t="array" ref="N285">_xlfn.IFS(
tbl_Data2[[#This Row],[Amount_Deviation]]&lt;1.5,2,
tbl_Data2[[#This Row],[Amount_Deviation]]&lt;3,6,
tbl_Data2[[#This Row],[Amount_Deviation]]&lt;6,8,
tbl_Data2[[#This Row],[Amount_Deviation]]&gt;=6,10
)</f>
        <v>6</v>
      </c>
      <c r="O285">
        <f>ROUND(
    (tbl_Data2[[#This Row],[Geo_Score]]*0.2) +
    (tbl_Data2[[#This Row],[Velocity_Score]]*0.25) +
    (tbl_Data2[[#This Row],[Volume_Score]]*0.25) +
    (tbl_Data2[[#This Row],[Deviation_Score]]*0.3),
1
)</f>
        <v>7.6</v>
      </c>
      <c r="P285" t="str" cm="1">
        <f t="array" ref="P285">_xlfn.IFS(
tbl_Data2[[#This Row],[Final_Risk_Score]]&lt;5.5,"Low",
tbl_Data2[[#This Row],[Final_Risk_Score]]&lt;7.5,"Medium",
tbl_Data2[[#This Row],[Final_Risk_Score]]&gt;=7.5,"High"
)</f>
        <v>High</v>
      </c>
      <c r="Q285" t="str" cm="1">
        <f t="array" ref="Q285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286" spans="1:17">
      <c r="A286" t="str">
        <f>tbl_data[[#This Row],[Customer_ID]]</f>
        <v>CUST-285</v>
      </c>
      <c r="B286" t="str">
        <f>tbl_data[[#This Row],[Customer_Type]]</f>
        <v>Business</v>
      </c>
      <c r="C286" t="str">
        <f>tbl_data[[#This Row],[Country]]</f>
        <v>USA</v>
      </c>
      <c r="D286" t="str">
        <f>tbl_data[[#This Row],[Industry]]</f>
        <v>Consulting</v>
      </c>
      <c r="E286">
        <f>tbl_data[[#This Row],[Tx_Count_30D]]</f>
        <v>46</v>
      </c>
      <c r="F286">
        <f>tbl_data[[#This Row],[Total_Amount_30D]]</f>
        <v>86238</v>
      </c>
      <c r="G286">
        <f>tbl_data[[#This Row],[Avg_Tx_Count_6M]]</f>
        <v>18</v>
      </c>
      <c r="H286">
        <f>tbl_data[[#This Row],[Avg_Total_Amount_6M]]</f>
        <v>37117</v>
      </c>
      <c r="I286">
        <f>IFERROR(tbl_Data2[[#This Row],[Tx_Count_30D]]/tbl_Data2[[#This Row],[Avg_Tx_Count_6M]],0)</f>
        <v>2.5555555555555554</v>
      </c>
      <c r="J286">
        <f>IFERROR(tbl_Data2[[#This Row],[Total_Amount_30D]]/tbl_Data2[[#This Row],[Avg_Total_Amount_6M]],0)</f>
        <v>2.3234097583317617</v>
      </c>
      <c r="K286">
        <f>_xlfn.XLOOKUP(tbl_Data2[[#This Row],[Country]], Geo_Map[Country], Geo_Map[Score], 5)</f>
        <v>1</v>
      </c>
      <c r="L286" cm="1">
        <f t="array" ref="L286">_xlfn.IFS(tbl_Data2[[#This Row],[Tx_Count_30D]]&lt;=5,2,tbl_Data2[[#This Row],[Tx_Count_30D]]&lt;=15,5,tbl_Data2[[#This Row],[Tx_Count_30D]]&lt;=30,7,tbl_Data2[[#This Row],[Tx_Count_30D]]&gt;30,9)</f>
        <v>9</v>
      </c>
      <c r="M286" cm="1">
        <f t="array" ref="M286">_xlfn.IFS(
tbl_Data2[[#This Row],[Total_Amount_30D]]&lt;10000,2,
tbl_Data2[[#This Row],[Total_Amount_30D]]&lt;25000,5,
tbl_Data2[[#This Row],[Total_Amount_30D]]&lt;50000,7,
tbl_Data2[[#This Row],[Total_Amount_30D]]&gt;=50000,9
)</f>
        <v>9</v>
      </c>
      <c r="N286" cm="1">
        <f t="array" ref="N286">_xlfn.IFS(
tbl_Data2[[#This Row],[Amount_Deviation]]&lt;1.5,2,
tbl_Data2[[#This Row],[Amount_Deviation]]&lt;3,6,
tbl_Data2[[#This Row],[Amount_Deviation]]&lt;6,8,
tbl_Data2[[#This Row],[Amount_Deviation]]&gt;=6,10
)</f>
        <v>6</v>
      </c>
      <c r="O286">
        <f>ROUND(
    (tbl_Data2[[#This Row],[Geo_Score]]*0.2) +
    (tbl_Data2[[#This Row],[Velocity_Score]]*0.25) +
    (tbl_Data2[[#This Row],[Volume_Score]]*0.25) +
    (tbl_Data2[[#This Row],[Deviation_Score]]*0.3),
1
)</f>
        <v>6.5</v>
      </c>
      <c r="P286" t="str" cm="1">
        <f t="array" ref="P286">_xlfn.IFS(
tbl_Data2[[#This Row],[Final_Risk_Score]]&lt;5.5,"Low",
tbl_Data2[[#This Row],[Final_Risk_Score]]&lt;7.5,"Medium",
tbl_Data2[[#This Row],[Final_Risk_Score]]&gt;=7.5,"High"
)</f>
        <v>Medium</v>
      </c>
      <c r="Q286" t="str" cm="1">
        <f t="array" ref="Q286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87" spans="1:17">
      <c r="A287" t="str">
        <f>tbl_data[[#This Row],[Customer_ID]]</f>
        <v>CUST-286</v>
      </c>
      <c r="B287" t="str">
        <f>tbl_data[[#This Row],[Customer_Type]]</f>
        <v>Business</v>
      </c>
      <c r="C287" t="str">
        <f>tbl_data[[#This Row],[Country]]</f>
        <v>USA</v>
      </c>
      <c r="D287" t="str">
        <f>tbl_data[[#This Row],[Industry]]</f>
        <v>Logistics</v>
      </c>
      <c r="E287">
        <f>tbl_data[[#This Row],[Tx_Count_30D]]</f>
        <v>24</v>
      </c>
      <c r="F287">
        <f>tbl_data[[#This Row],[Total_Amount_30D]]</f>
        <v>81584</v>
      </c>
      <c r="G287">
        <f>tbl_data[[#This Row],[Avg_Tx_Count_6M]]</f>
        <v>16</v>
      </c>
      <c r="H287">
        <f>tbl_data[[#This Row],[Avg_Total_Amount_6M]]</f>
        <v>51194</v>
      </c>
      <c r="I287">
        <f>IFERROR(tbl_Data2[[#This Row],[Tx_Count_30D]]/tbl_Data2[[#This Row],[Avg_Tx_Count_6M]],0)</f>
        <v>1.5</v>
      </c>
      <c r="J287">
        <f>IFERROR(tbl_Data2[[#This Row],[Total_Amount_30D]]/tbl_Data2[[#This Row],[Avg_Total_Amount_6M]],0)</f>
        <v>1.5936242528421298</v>
      </c>
      <c r="K287">
        <f>_xlfn.XLOOKUP(tbl_Data2[[#This Row],[Country]], Geo_Map[Country], Geo_Map[Score], 5)</f>
        <v>1</v>
      </c>
      <c r="L287" cm="1">
        <f t="array" ref="L287">_xlfn.IFS(tbl_Data2[[#This Row],[Tx_Count_30D]]&lt;=5,2,tbl_Data2[[#This Row],[Tx_Count_30D]]&lt;=15,5,tbl_Data2[[#This Row],[Tx_Count_30D]]&lt;=30,7,tbl_Data2[[#This Row],[Tx_Count_30D]]&gt;30,9)</f>
        <v>7</v>
      </c>
      <c r="M287" cm="1">
        <f t="array" ref="M287">_xlfn.IFS(
tbl_Data2[[#This Row],[Total_Amount_30D]]&lt;10000,2,
tbl_Data2[[#This Row],[Total_Amount_30D]]&lt;25000,5,
tbl_Data2[[#This Row],[Total_Amount_30D]]&lt;50000,7,
tbl_Data2[[#This Row],[Total_Amount_30D]]&gt;=50000,9
)</f>
        <v>9</v>
      </c>
      <c r="N287" cm="1">
        <f t="array" ref="N287">_xlfn.IFS(
tbl_Data2[[#This Row],[Amount_Deviation]]&lt;1.5,2,
tbl_Data2[[#This Row],[Amount_Deviation]]&lt;3,6,
tbl_Data2[[#This Row],[Amount_Deviation]]&lt;6,8,
tbl_Data2[[#This Row],[Amount_Deviation]]&gt;=6,10
)</f>
        <v>6</v>
      </c>
      <c r="O287">
        <f>ROUND(
    (tbl_Data2[[#This Row],[Geo_Score]]*0.2) +
    (tbl_Data2[[#This Row],[Velocity_Score]]*0.25) +
    (tbl_Data2[[#This Row],[Volume_Score]]*0.25) +
    (tbl_Data2[[#This Row],[Deviation_Score]]*0.3),
1
)</f>
        <v>6</v>
      </c>
      <c r="P287" t="str" cm="1">
        <f t="array" ref="P287">_xlfn.IFS(
tbl_Data2[[#This Row],[Final_Risk_Score]]&lt;5.5,"Low",
tbl_Data2[[#This Row],[Final_Risk_Score]]&lt;7.5,"Medium",
tbl_Data2[[#This Row],[Final_Risk_Score]]&gt;=7.5,"High"
)</f>
        <v>Medium</v>
      </c>
      <c r="Q287" t="str" cm="1">
        <f t="array" ref="Q287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88" spans="1:17" hidden="1">
      <c r="A288" t="str">
        <f>tbl_data[[#This Row],[Customer_ID]]</f>
        <v>CUST-287</v>
      </c>
      <c r="B288" t="str">
        <f>tbl_data[[#This Row],[Customer_Type]]</f>
        <v>Business</v>
      </c>
      <c r="C288" t="str">
        <f>tbl_data[[#This Row],[Country]]</f>
        <v>Panama</v>
      </c>
      <c r="D288" t="str">
        <f>tbl_data[[#This Row],[Industry]]</f>
        <v>Trading</v>
      </c>
      <c r="E288">
        <f>tbl_data[[#This Row],[Tx_Count_30D]]</f>
        <v>4</v>
      </c>
      <c r="F288">
        <f>tbl_data[[#This Row],[Total_Amount_30D]]</f>
        <v>12350</v>
      </c>
      <c r="G288">
        <f>tbl_data[[#This Row],[Avg_Tx_Count_6M]]</f>
        <v>1</v>
      </c>
      <c r="H288">
        <f>tbl_data[[#This Row],[Avg_Total_Amount_6M]]</f>
        <v>5156</v>
      </c>
      <c r="I288">
        <f>IFERROR(tbl_Data2[[#This Row],[Tx_Count_30D]]/tbl_Data2[[#This Row],[Avg_Tx_Count_6M]],0)</f>
        <v>4</v>
      </c>
      <c r="J288">
        <f>IFERROR(tbl_Data2[[#This Row],[Total_Amount_30D]]/tbl_Data2[[#This Row],[Avg_Total_Amount_6M]],0)</f>
        <v>2.3952676493405742</v>
      </c>
      <c r="K288">
        <f>_xlfn.XLOOKUP(tbl_Data2[[#This Row],[Country]], Geo_Map[Country], Geo_Map[Score], 5)</f>
        <v>8</v>
      </c>
      <c r="L288" cm="1">
        <f t="array" ref="L288">_xlfn.IFS(tbl_Data2[[#This Row],[Tx_Count_30D]]&lt;=5,2,tbl_Data2[[#This Row],[Tx_Count_30D]]&lt;=15,5,tbl_Data2[[#This Row],[Tx_Count_30D]]&lt;=30,7,tbl_Data2[[#This Row],[Tx_Count_30D]]&gt;30,9)</f>
        <v>2</v>
      </c>
      <c r="M288" cm="1">
        <f t="array" ref="M288">_xlfn.IFS(
tbl_Data2[[#This Row],[Total_Amount_30D]]&lt;10000,2,
tbl_Data2[[#This Row],[Total_Amount_30D]]&lt;25000,5,
tbl_Data2[[#This Row],[Total_Amount_30D]]&lt;50000,7,
tbl_Data2[[#This Row],[Total_Amount_30D]]&gt;=50000,9
)</f>
        <v>5</v>
      </c>
      <c r="N288" cm="1">
        <f t="array" ref="N288">_xlfn.IFS(
tbl_Data2[[#This Row],[Amount_Deviation]]&lt;1.5,2,
tbl_Data2[[#This Row],[Amount_Deviation]]&lt;3,6,
tbl_Data2[[#This Row],[Amount_Deviation]]&lt;6,8,
tbl_Data2[[#This Row],[Amount_Deviation]]&gt;=6,10
)</f>
        <v>6</v>
      </c>
      <c r="O288">
        <f>ROUND(
    (tbl_Data2[[#This Row],[Geo_Score]]*0.2) +
    (tbl_Data2[[#This Row],[Velocity_Score]]*0.25) +
    (tbl_Data2[[#This Row],[Volume_Score]]*0.25) +
    (tbl_Data2[[#This Row],[Deviation_Score]]*0.3),
1
)</f>
        <v>5.2</v>
      </c>
      <c r="P288" t="str" cm="1">
        <f t="array" ref="P288">_xlfn.IFS(
tbl_Data2[[#This Row],[Final_Risk_Score]]&lt;5.5,"Low",
tbl_Data2[[#This Row],[Final_Risk_Score]]&lt;7.5,"Medium",
tbl_Data2[[#This Row],[Final_Risk_Score]]&gt;=7.5,"High"
)</f>
        <v>Low</v>
      </c>
      <c r="Q288" t="str" cm="1">
        <f t="array" ref="Q288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289" spans="1:17" hidden="1">
      <c r="A289" t="str">
        <f>tbl_data[[#This Row],[Customer_ID]]</f>
        <v>CUST-288</v>
      </c>
      <c r="B289" t="str">
        <f>tbl_data[[#This Row],[Customer_Type]]</f>
        <v>Individual</v>
      </c>
      <c r="C289" t="str">
        <f>tbl_data[[#This Row],[Country]]</f>
        <v>Seychelles</v>
      </c>
      <c r="D289" t="str">
        <f>tbl_data[[#This Row],[Industry]]</f>
        <v>Consulting</v>
      </c>
      <c r="E289">
        <f>tbl_data[[#This Row],[Tx_Count_30D]]</f>
        <v>24</v>
      </c>
      <c r="F289">
        <f>tbl_data[[#This Row],[Total_Amount_30D]]</f>
        <v>110218</v>
      </c>
      <c r="G289">
        <f>tbl_data[[#This Row],[Avg_Tx_Count_6M]]</f>
        <v>22</v>
      </c>
      <c r="H289">
        <f>tbl_data[[#This Row],[Avg_Total_Amount_6M]]</f>
        <v>7700</v>
      </c>
      <c r="I289">
        <f>IFERROR(tbl_Data2[[#This Row],[Tx_Count_30D]]/tbl_Data2[[#This Row],[Avg_Tx_Count_6M]],0)</f>
        <v>1.0909090909090908</v>
      </c>
      <c r="J289">
        <f>IFERROR(tbl_Data2[[#This Row],[Total_Amount_30D]]/tbl_Data2[[#This Row],[Avg_Total_Amount_6M]],0)</f>
        <v>14.314025974025974</v>
      </c>
      <c r="K289">
        <f>_xlfn.XLOOKUP(tbl_Data2[[#This Row],[Country]], Geo_Map[Country], Geo_Map[Score], 5)</f>
        <v>9</v>
      </c>
      <c r="L289" cm="1">
        <f t="array" ref="L289">_xlfn.IFS(tbl_Data2[[#This Row],[Tx_Count_30D]]&lt;=5,2,tbl_Data2[[#This Row],[Tx_Count_30D]]&lt;=15,5,tbl_Data2[[#This Row],[Tx_Count_30D]]&lt;=30,7,tbl_Data2[[#This Row],[Tx_Count_30D]]&gt;30,9)</f>
        <v>7</v>
      </c>
      <c r="M289" cm="1">
        <f t="array" ref="M289">_xlfn.IFS(
tbl_Data2[[#This Row],[Total_Amount_30D]]&lt;10000,2,
tbl_Data2[[#This Row],[Total_Amount_30D]]&lt;25000,5,
tbl_Data2[[#This Row],[Total_Amount_30D]]&lt;50000,7,
tbl_Data2[[#This Row],[Total_Amount_30D]]&gt;=50000,9
)</f>
        <v>9</v>
      </c>
      <c r="N289" cm="1">
        <f t="array" ref="N289">_xlfn.IFS(
tbl_Data2[[#This Row],[Amount_Deviation]]&lt;1.5,2,
tbl_Data2[[#This Row],[Amount_Deviation]]&lt;3,6,
tbl_Data2[[#This Row],[Amount_Deviation]]&lt;6,8,
tbl_Data2[[#This Row],[Amount_Deviation]]&gt;=6,10
)</f>
        <v>10</v>
      </c>
      <c r="O289">
        <f>ROUND(
    (tbl_Data2[[#This Row],[Geo_Score]]*0.2) +
    (tbl_Data2[[#This Row],[Velocity_Score]]*0.25) +
    (tbl_Data2[[#This Row],[Volume_Score]]*0.25) +
    (tbl_Data2[[#This Row],[Deviation_Score]]*0.3),
1
)</f>
        <v>8.8000000000000007</v>
      </c>
      <c r="P289" t="str" cm="1">
        <f t="array" ref="P289">_xlfn.IFS(
tbl_Data2[[#This Row],[Final_Risk_Score]]&lt;5.5,"Low",
tbl_Data2[[#This Row],[Final_Risk_Score]]&lt;7.5,"Medium",
tbl_Data2[[#This Row],[Final_Risk_Score]]&gt;=7.5,"High"
)</f>
        <v>High</v>
      </c>
      <c r="Q289" t="str" cm="1">
        <f t="array" ref="Q289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290" spans="1:17">
      <c r="A290" t="str">
        <f>tbl_data[[#This Row],[Customer_ID]]</f>
        <v>CUST-289</v>
      </c>
      <c r="B290" t="str">
        <f>tbl_data[[#This Row],[Customer_Type]]</f>
        <v>Business</v>
      </c>
      <c r="C290" t="str">
        <f>tbl_data[[#This Row],[Country]]</f>
        <v>Cyprus</v>
      </c>
      <c r="D290" t="str">
        <f>tbl_data[[#This Row],[Industry]]</f>
        <v>Import/Export</v>
      </c>
      <c r="E290">
        <f>tbl_data[[#This Row],[Tx_Count_30D]]</f>
        <v>20</v>
      </c>
      <c r="F290">
        <f>tbl_data[[#This Row],[Total_Amount_30D]]</f>
        <v>31788</v>
      </c>
      <c r="G290">
        <f>tbl_data[[#This Row],[Avg_Tx_Count_6M]]</f>
        <v>22</v>
      </c>
      <c r="H290">
        <f>tbl_data[[#This Row],[Avg_Total_Amount_6M]]</f>
        <v>23584</v>
      </c>
      <c r="I290">
        <f>IFERROR(tbl_Data2[[#This Row],[Tx_Count_30D]]/tbl_Data2[[#This Row],[Avg_Tx_Count_6M]],0)</f>
        <v>0.90909090909090906</v>
      </c>
      <c r="J290">
        <f>IFERROR(tbl_Data2[[#This Row],[Total_Amount_30D]]/tbl_Data2[[#This Row],[Avg_Total_Amount_6M]],0)</f>
        <v>1.3478629579375847</v>
      </c>
      <c r="K290">
        <f>_xlfn.XLOOKUP(tbl_Data2[[#This Row],[Country]], Geo_Map[Country], Geo_Map[Score], 5)</f>
        <v>7</v>
      </c>
      <c r="L290" cm="1">
        <f t="array" ref="L290">_xlfn.IFS(tbl_Data2[[#This Row],[Tx_Count_30D]]&lt;=5,2,tbl_Data2[[#This Row],[Tx_Count_30D]]&lt;=15,5,tbl_Data2[[#This Row],[Tx_Count_30D]]&lt;=30,7,tbl_Data2[[#This Row],[Tx_Count_30D]]&gt;30,9)</f>
        <v>7</v>
      </c>
      <c r="M290" cm="1">
        <f t="array" ref="M290">_xlfn.IFS(
tbl_Data2[[#This Row],[Total_Amount_30D]]&lt;10000,2,
tbl_Data2[[#This Row],[Total_Amount_30D]]&lt;25000,5,
tbl_Data2[[#This Row],[Total_Amount_30D]]&lt;50000,7,
tbl_Data2[[#This Row],[Total_Amount_30D]]&gt;=50000,9
)</f>
        <v>7</v>
      </c>
      <c r="N290" cm="1">
        <f t="array" ref="N290">_xlfn.IFS(
tbl_Data2[[#This Row],[Amount_Deviation]]&lt;1.5,2,
tbl_Data2[[#This Row],[Amount_Deviation]]&lt;3,6,
tbl_Data2[[#This Row],[Amount_Deviation]]&lt;6,8,
tbl_Data2[[#This Row],[Amount_Deviation]]&gt;=6,10
)</f>
        <v>2</v>
      </c>
      <c r="O290">
        <f>ROUND(
    (tbl_Data2[[#This Row],[Geo_Score]]*0.2) +
    (tbl_Data2[[#This Row],[Velocity_Score]]*0.25) +
    (tbl_Data2[[#This Row],[Volume_Score]]*0.25) +
    (tbl_Data2[[#This Row],[Deviation_Score]]*0.3),
1
)</f>
        <v>5.5</v>
      </c>
      <c r="P290" t="str" cm="1">
        <f t="array" ref="P290">_xlfn.IFS(
tbl_Data2[[#This Row],[Final_Risk_Score]]&lt;5.5,"Low",
tbl_Data2[[#This Row],[Final_Risk_Score]]&lt;7.5,"Medium",
tbl_Data2[[#This Row],[Final_Risk_Score]]&gt;=7.5,"High"
)</f>
        <v>Medium</v>
      </c>
      <c r="Q290" t="str" cm="1">
        <f t="array" ref="Q290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91" spans="1:17">
      <c r="A291" t="str">
        <f>tbl_data[[#This Row],[Customer_ID]]</f>
        <v>CUST-290</v>
      </c>
      <c r="B291" t="str">
        <f>tbl_data[[#This Row],[Customer_Type]]</f>
        <v>Business</v>
      </c>
      <c r="C291" t="str">
        <f>tbl_data[[#This Row],[Country]]</f>
        <v>Seychelles</v>
      </c>
      <c r="D291" t="str">
        <f>tbl_data[[#This Row],[Industry]]</f>
        <v>Logistics</v>
      </c>
      <c r="E291">
        <f>tbl_data[[#This Row],[Tx_Count_30D]]</f>
        <v>57</v>
      </c>
      <c r="F291">
        <f>tbl_data[[#This Row],[Total_Amount_30D]]</f>
        <v>68613</v>
      </c>
      <c r="G291">
        <f>tbl_data[[#This Row],[Avg_Tx_Count_6M]]</f>
        <v>30</v>
      </c>
      <c r="H291">
        <f>tbl_data[[#This Row],[Avg_Total_Amount_6M]]</f>
        <v>74420</v>
      </c>
      <c r="I291">
        <f>IFERROR(tbl_Data2[[#This Row],[Tx_Count_30D]]/tbl_Data2[[#This Row],[Avg_Tx_Count_6M]],0)</f>
        <v>1.9</v>
      </c>
      <c r="J291">
        <f>IFERROR(tbl_Data2[[#This Row],[Total_Amount_30D]]/tbl_Data2[[#This Row],[Avg_Total_Amount_6M]],0)</f>
        <v>0.92196990056436445</v>
      </c>
      <c r="K291">
        <f>_xlfn.XLOOKUP(tbl_Data2[[#This Row],[Country]], Geo_Map[Country], Geo_Map[Score], 5)</f>
        <v>9</v>
      </c>
      <c r="L291" cm="1">
        <f t="array" ref="L291">_xlfn.IFS(tbl_Data2[[#This Row],[Tx_Count_30D]]&lt;=5,2,tbl_Data2[[#This Row],[Tx_Count_30D]]&lt;=15,5,tbl_Data2[[#This Row],[Tx_Count_30D]]&lt;=30,7,tbl_Data2[[#This Row],[Tx_Count_30D]]&gt;30,9)</f>
        <v>9</v>
      </c>
      <c r="M291" cm="1">
        <f t="array" ref="M291">_xlfn.IFS(
tbl_Data2[[#This Row],[Total_Amount_30D]]&lt;10000,2,
tbl_Data2[[#This Row],[Total_Amount_30D]]&lt;25000,5,
tbl_Data2[[#This Row],[Total_Amount_30D]]&lt;50000,7,
tbl_Data2[[#This Row],[Total_Amount_30D]]&gt;=50000,9
)</f>
        <v>9</v>
      </c>
      <c r="N291" cm="1">
        <f t="array" ref="N291">_xlfn.IFS(
tbl_Data2[[#This Row],[Amount_Deviation]]&lt;1.5,2,
tbl_Data2[[#This Row],[Amount_Deviation]]&lt;3,6,
tbl_Data2[[#This Row],[Amount_Deviation]]&lt;6,8,
tbl_Data2[[#This Row],[Amount_Deviation]]&gt;=6,10
)</f>
        <v>2</v>
      </c>
      <c r="O291">
        <f>ROUND(
    (tbl_Data2[[#This Row],[Geo_Score]]*0.2) +
    (tbl_Data2[[#This Row],[Velocity_Score]]*0.25) +
    (tbl_Data2[[#This Row],[Volume_Score]]*0.25) +
    (tbl_Data2[[#This Row],[Deviation_Score]]*0.3),
1
)</f>
        <v>6.9</v>
      </c>
      <c r="P291" t="str" cm="1">
        <f t="array" ref="P291">_xlfn.IFS(
tbl_Data2[[#This Row],[Final_Risk_Score]]&lt;5.5,"Low",
tbl_Data2[[#This Row],[Final_Risk_Score]]&lt;7.5,"Medium",
tbl_Data2[[#This Row],[Final_Risk_Score]]&gt;=7.5,"High"
)</f>
        <v>Medium</v>
      </c>
      <c r="Q291" t="str" cm="1">
        <f t="array" ref="Q291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92" spans="1:17" hidden="1">
      <c r="A292" t="str">
        <f>tbl_data[[#This Row],[Customer_ID]]</f>
        <v>CUST-291</v>
      </c>
      <c r="B292" t="str">
        <f>tbl_data[[#This Row],[Customer_Type]]</f>
        <v>Business</v>
      </c>
      <c r="C292" t="str">
        <f>tbl_data[[#This Row],[Country]]</f>
        <v>Seychelles</v>
      </c>
      <c r="D292" t="str">
        <f>tbl_data[[#This Row],[Industry]]</f>
        <v>Trading</v>
      </c>
      <c r="E292">
        <f>tbl_data[[#This Row],[Tx_Count_30D]]</f>
        <v>3</v>
      </c>
      <c r="F292">
        <f>tbl_data[[#This Row],[Total_Amount_30D]]</f>
        <v>27954</v>
      </c>
      <c r="G292">
        <f>tbl_data[[#This Row],[Avg_Tx_Count_6M]]</f>
        <v>15</v>
      </c>
      <c r="H292">
        <f>tbl_data[[#This Row],[Avg_Total_Amount_6M]]</f>
        <v>53223</v>
      </c>
      <c r="I292">
        <f>IFERROR(tbl_Data2[[#This Row],[Tx_Count_30D]]/tbl_Data2[[#This Row],[Avg_Tx_Count_6M]],0)</f>
        <v>0.2</v>
      </c>
      <c r="J292">
        <f>IFERROR(tbl_Data2[[#This Row],[Total_Amount_30D]]/tbl_Data2[[#This Row],[Avg_Total_Amount_6M]],0)</f>
        <v>0.52522405726847421</v>
      </c>
      <c r="K292">
        <f>_xlfn.XLOOKUP(tbl_Data2[[#This Row],[Country]], Geo_Map[Country], Geo_Map[Score], 5)</f>
        <v>9</v>
      </c>
      <c r="L292" cm="1">
        <f t="array" ref="L292">_xlfn.IFS(tbl_Data2[[#This Row],[Tx_Count_30D]]&lt;=5,2,tbl_Data2[[#This Row],[Tx_Count_30D]]&lt;=15,5,tbl_Data2[[#This Row],[Tx_Count_30D]]&lt;=30,7,tbl_Data2[[#This Row],[Tx_Count_30D]]&gt;30,9)</f>
        <v>2</v>
      </c>
      <c r="M292" cm="1">
        <f t="array" ref="M292">_xlfn.IFS(
tbl_Data2[[#This Row],[Total_Amount_30D]]&lt;10000,2,
tbl_Data2[[#This Row],[Total_Amount_30D]]&lt;25000,5,
tbl_Data2[[#This Row],[Total_Amount_30D]]&lt;50000,7,
tbl_Data2[[#This Row],[Total_Amount_30D]]&gt;=50000,9
)</f>
        <v>7</v>
      </c>
      <c r="N292" cm="1">
        <f t="array" ref="N292">_xlfn.IFS(
tbl_Data2[[#This Row],[Amount_Deviation]]&lt;1.5,2,
tbl_Data2[[#This Row],[Amount_Deviation]]&lt;3,6,
tbl_Data2[[#This Row],[Amount_Deviation]]&lt;6,8,
tbl_Data2[[#This Row],[Amount_Deviation]]&gt;=6,10
)</f>
        <v>2</v>
      </c>
      <c r="O292">
        <f>ROUND(
    (tbl_Data2[[#This Row],[Geo_Score]]*0.2) +
    (tbl_Data2[[#This Row],[Velocity_Score]]*0.25) +
    (tbl_Data2[[#This Row],[Volume_Score]]*0.25) +
    (tbl_Data2[[#This Row],[Deviation_Score]]*0.3),
1
)</f>
        <v>4.7</v>
      </c>
      <c r="P292" t="str" cm="1">
        <f t="array" ref="P292">_xlfn.IFS(
tbl_Data2[[#This Row],[Final_Risk_Score]]&lt;5.5,"Low",
tbl_Data2[[#This Row],[Final_Risk_Score]]&lt;7.5,"Medium",
tbl_Data2[[#This Row],[Final_Risk_Score]]&gt;=7.5,"High"
)</f>
        <v>Low</v>
      </c>
      <c r="Q292" t="str" cm="1">
        <f t="array" ref="Q292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293" spans="1:17">
      <c r="A293" t="str">
        <f>tbl_data[[#This Row],[Customer_ID]]</f>
        <v>CUST-292</v>
      </c>
      <c r="B293" t="str">
        <f>tbl_data[[#This Row],[Customer_Type]]</f>
        <v>Business</v>
      </c>
      <c r="C293" t="str">
        <f>tbl_data[[#This Row],[Country]]</f>
        <v>Hong Kong</v>
      </c>
      <c r="D293" t="str">
        <f>tbl_data[[#This Row],[Industry]]</f>
        <v>Logistics</v>
      </c>
      <c r="E293">
        <f>tbl_data[[#This Row],[Tx_Count_30D]]</f>
        <v>12</v>
      </c>
      <c r="F293">
        <f>tbl_data[[#This Row],[Total_Amount_30D]]</f>
        <v>73969</v>
      </c>
      <c r="G293">
        <f>tbl_data[[#This Row],[Avg_Tx_Count_6M]]</f>
        <v>28</v>
      </c>
      <c r="H293">
        <f>tbl_data[[#This Row],[Avg_Total_Amount_6M]]</f>
        <v>42428</v>
      </c>
      <c r="I293">
        <f>IFERROR(tbl_Data2[[#This Row],[Tx_Count_30D]]/tbl_Data2[[#This Row],[Avg_Tx_Count_6M]],0)</f>
        <v>0.42857142857142855</v>
      </c>
      <c r="J293">
        <f>IFERROR(tbl_Data2[[#This Row],[Total_Amount_30D]]/tbl_Data2[[#This Row],[Avg_Total_Amount_6M]],0)</f>
        <v>1.7434005845196567</v>
      </c>
      <c r="K293">
        <f>_xlfn.XLOOKUP(tbl_Data2[[#This Row],[Country]], Geo_Map[Country], Geo_Map[Score], 5)</f>
        <v>6</v>
      </c>
      <c r="L293" cm="1">
        <f t="array" ref="L293">_xlfn.IFS(tbl_Data2[[#This Row],[Tx_Count_30D]]&lt;=5,2,tbl_Data2[[#This Row],[Tx_Count_30D]]&lt;=15,5,tbl_Data2[[#This Row],[Tx_Count_30D]]&lt;=30,7,tbl_Data2[[#This Row],[Tx_Count_30D]]&gt;30,9)</f>
        <v>5</v>
      </c>
      <c r="M293" cm="1">
        <f t="array" ref="M293">_xlfn.IFS(
tbl_Data2[[#This Row],[Total_Amount_30D]]&lt;10000,2,
tbl_Data2[[#This Row],[Total_Amount_30D]]&lt;25000,5,
tbl_Data2[[#This Row],[Total_Amount_30D]]&lt;50000,7,
tbl_Data2[[#This Row],[Total_Amount_30D]]&gt;=50000,9
)</f>
        <v>9</v>
      </c>
      <c r="N293" cm="1">
        <f t="array" ref="N293">_xlfn.IFS(
tbl_Data2[[#This Row],[Amount_Deviation]]&lt;1.5,2,
tbl_Data2[[#This Row],[Amount_Deviation]]&lt;3,6,
tbl_Data2[[#This Row],[Amount_Deviation]]&lt;6,8,
tbl_Data2[[#This Row],[Amount_Deviation]]&gt;=6,10
)</f>
        <v>6</v>
      </c>
      <c r="O293">
        <f>ROUND(
    (tbl_Data2[[#This Row],[Geo_Score]]*0.2) +
    (tbl_Data2[[#This Row],[Velocity_Score]]*0.25) +
    (tbl_Data2[[#This Row],[Volume_Score]]*0.25) +
    (tbl_Data2[[#This Row],[Deviation_Score]]*0.3),
1
)</f>
        <v>6.5</v>
      </c>
      <c r="P293" t="str" cm="1">
        <f t="array" ref="P293">_xlfn.IFS(
tbl_Data2[[#This Row],[Final_Risk_Score]]&lt;5.5,"Low",
tbl_Data2[[#This Row],[Final_Risk_Score]]&lt;7.5,"Medium",
tbl_Data2[[#This Row],[Final_Risk_Score]]&gt;=7.5,"High"
)</f>
        <v>Medium</v>
      </c>
      <c r="Q293" t="str" cm="1">
        <f t="array" ref="Q293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94" spans="1:17" hidden="1">
      <c r="A294" t="str">
        <f>tbl_data[[#This Row],[Customer_ID]]</f>
        <v>CUST-293</v>
      </c>
      <c r="B294" t="str">
        <f>tbl_data[[#This Row],[Customer_Type]]</f>
        <v>Business</v>
      </c>
      <c r="C294" t="str">
        <f>tbl_data[[#This Row],[Country]]</f>
        <v>BVI</v>
      </c>
      <c r="D294" t="str">
        <f>tbl_data[[#This Row],[Industry]]</f>
        <v>Consulting</v>
      </c>
      <c r="E294">
        <f>tbl_data[[#This Row],[Tx_Count_30D]]</f>
        <v>3</v>
      </c>
      <c r="F294">
        <f>tbl_data[[#This Row],[Total_Amount_30D]]</f>
        <v>19299</v>
      </c>
      <c r="G294">
        <f>tbl_data[[#This Row],[Avg_Tx_Count_6M]]</f>
        <v>32</v>
      </c>
      <c r="H294">
        <f>tbl_data[[#This Row],[Avg_Total_Amount_6M]]</f>
        <v>35803</v>
      </c>
      <c r="I294">
        <f>IFERROR(tbl_Data2[[#This Row],[Tx_Count_30D]]/tbl_Data2[[#This Row],[Avg_Tx_Count_6M]],0)</f>
        <v>9.375E-2</v>
      </c>
      <c r="J294">
        <f>IFERROR(tbl_Data2[[#This Row],[Total_Amount_30D]]/tbl_Data2[[#This Row],[Avg_Total_Amount_6M]],0)</f>
        <v>0.53903304192386114</v>
      </c>
      <c r="K294">
        <f>_xlfn.XLOOKUP(tbl_Data2[[#This Row],[Country]], Geo_Map[Country], Geo_Map[Score], 5)</f>
        <v>9</v>
      </c>
      <c r="L294" cm="1">
        <f t="array" ref="L294">_xlfn.IFS(tbl_Data2[[#This Row],[Tx_Count_30D]]&lt;=5,2,tbl_Data2[[#This Row],[Tx_Count_30D]]&lt;=15,5,tbl_Data2[[#This Row],[Tx_Count_30D]]&lt;=30,7,tbl_Data2[[#This Row],[Tx_Count_30D]]&gt;30,9)</f>
        <v>2</v>
      </c>
      <c r="M294" cm="1">
        <f t="array" ref="M294">_xlfn.IFS(
tbl_Data2[[#This Row],[Total_Amount_30D]]&lt;10000,2,
tbl_Data2[[#This Row],[Total_Amount_30D]]&lt;25000,5,
tbl_Data2[[#This Row],[Total_Amount_30D]]&lt;50000,7,
tbl_Data2[[#This Row],[Total_Amount_30D]]&gt;=50000,9
)</f>
        <v>5</v>
      </c>
      <c r="N294" cm="1">
        <f t="array" ref="N294">_xlfn.IFS(
tbl_Data2[[#This Row],[Amount_Deviation]]&lt;1.5,2,
tbl_Data2[[#This Row],[Amount_Deviation]]&lt;3,6,
tbl_Data2[[#This Row],[Amount_Deviation]]&lt;6,8,
tbl_Data2[[#This Row],[Amount_Deviation]]&gt;=6,10
)</f>
        <v>2</v>
      </c>
      <c r="O294">
        <f>ROUND(
    (tbl_Data2[[#This Row],[Geo_Score]]*0.2) +
    (tbl_Data2[[#This Row],[Velocity_Score]]*0.25) +
    (tbl_Data2[[#This Row],[Volume_Score]]*0.25) +
    (tbl_Data2[[#This Row],[Deviation_Score]]*0.3),
1
)</f>
        <v>4.2</v>
      </c>
      <c r="P294" t="str" cm="1">
        <f t="array" ref="P294">_xlfn.IFS(
tbl_Data2[[#This Row],[Final_Risk_Score]]&lt;5.5,"Low",
tbl_Data2[[#This Row],[Final_Risk_Score]]&lt;7.5,"Medium",
tbl_Data2[[#This Row],[Final_Risk_Score]]&gt;=7.5,"High"
)</f>
        <v>Low</v>
      </c>
      <c r="Q294" t="str" cm="1">
        <f t="array" ref="Q294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295" spans="1:17">
      <c r="A295" t="str">
        <f>tbl_data[[#This Row],[Customer_ID]]</f>
        <v>CUST-294</v>
      </c>
      <c r="B295" t="str">
        <f>tbl_data[[#This Row],[Customer_Type]]</f>
        <v>Business</v>
      </c>
      <c r="C295" t="str">
        <f>tbl_data[[#This Row],[Country]]</f>
        <v>UAE</v>
      </c>
      <c r="D295" t="str">
        <f>tbl_data[[#This Row],[Industry]]</f>
        <v>IT Services</v>
      </c>
      <c r="E295">
        <f>tbl_data[[#This Row],[Tx_Count_30D]]</f>
        <v>59</v>
      </c>
      <c r="F295">
        <f>tbl_data[[#This Row],[Total_Amount_30D]]</f>
        <v>3902</v>
      </c>
      <c r="G295">
        <f>tbl_data[[#This Row],[Avg_Tx_Count_6M]]</f>
        <v>32</v>
      </c>
      <c r="H295">
        <f>tbl_data[[#This Row],[Avg_Total_Amount_6M]]</f>
        <v>1699</v>
      </c>
      <c r="I295">
        <f>IFERROR(tbl_Data2[[#This Row],[Tx_Count_30D]]/tbl_Data2[[#This Row],[Avg_Tx_Count_6M]],0)</f>
        <v>1.84375</v>
      </c>
      <c r="J295">
        <f>IFERROR(tbl_Data2[[#This Row],[Total_Amount_30D]]/tbl_Data2[[#This Row],[Avg_Total_Amount_6M]],0)</f>
        <v>2.2966450853443203</v>
      </c>
      <c r="K295">
        <f>_xlfn.XLOOKUP(tbl_Data2[[#This Row],[Country]], Geo_Map[Country], Geo_Map[Score], 5)</f>
        <v>6</v>
      </c>
      <c r="L295" cm="1">
        <f t="array" ref="L295">_xlfn.IFS(tbl_Data2[[#This Row],[Tx_Count_30D]]&lt;=5,2,tbl_Data2[[#This Row],[Tx_Count_30D]]&lt;=15,5,tbl_Data2[[#This Row],[Tx_Count_30D]]&lt;=30,7,tbl_Data2[[#This Row],[Tx_Count_30D]]&gt;30,9)</f>
        <v>9</v>
      </c>
      <c r="M295" cm="1">
        <f t="array" ref="M295">_xlfn.IFS(
tbl_Data2[[#This Row],[Total_Amount_30D]]&lt;10000,2,
tbl_Data2[[#This Row],[Total_Amount_30D]]&lt;25000,5,
tbl_Data2[[#This Row],[Total_Amount_30D]]&lt;50000,7,
tbl_Data2[[#This Row],[Total_Amount_30D]]&gt;=50000,9
)</f>
        <v>2</v>
      </c>
      <c r="N295" cm="1">
        <f t="array" ref="N295">_xlfn.IFS(
tbl_Data2[[#This Row],[Amount_Deviation]]&lt;1.5,2,
tbl_Data2[[#This Row],[Amount_Deviation]]&lt;3,6,
tbl_Data2[[#This Row],[Amount_Deviation]]&lt;6,8,
tbl_Data2[[#This Row],[Amount_Deviation]]&gt;=6,10
)</f>
        <v>6</v>
      </c>
      <c r="O295">
        <f>ROUND(
    (tbl_Data2[[#This Row],[Geo_Score]]*0.2) +
    (tbl_Data2[[#This Row],[Velocity_Score]]*0.25) +
    (tbl_Data2[[#This Row],[Volume_Score]]*0.25) +
    (tbl_Data2[[#This Row],[Deviation_Score]]*0.3),
1
)</f>
        <v>5.8</v>
      </c>
      <c r="P295" t="str" cm="1">
        <f t="array" ref="P295">_xlfn.IFS(
tbl_Data2[[#This Row],[Final_Risk_Score]]&lt;5.5,"Low",
tbl_Data2[[#This Row],[Final_Risk_Score]]&lt;7.5,"Medium",
tbl_Data2[[#This Row],[Final_Risk_Score]]&gt;=7.5,"High"
)</f>
        <v>Medium</v>
      </c>
      <c r="Q295" t="str" cm="1">
        <f t="array" ref="Q295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96" spans="1:17" hidden="1">
      <c r="A296" t="str">
        <f>tbl_data[[#This Row],[Customer_ID]]</f>
        <v>CUST-295</v>
      </c>
      <c r="B296" t="str">
        <f>tbl_data[[#This Row],[Customer_Type]]</f>
        <v>Business</v>
      </c>
      <c r="C296" t="str">
        <f>tbl_data[[#This Row],[Country]]</f>
        <v>Seychelles</v>
      </c>
      <c r="D296" t="str">
        <f>tbl_data[[#This Row],[Industry]]</f>
        <v>Manufacturing</v>
      </c>
      <c r="E296">
        <f>tbl_data[[#This Row],[Tx_Count_30D]]</f>
        <v>5</v>
      </c>
      <c r="F296">
        <f>tbl_data[[#This Row],[Total_Amount_30D]]</f>
        <v>41202</v>
      </c>
      <c r="G296">
        <f>tbl_data[[#This Row],[Avg_Tx_Count_6M]]</f>
        <v>34</v>
      </c>
      <c r="H296">
        <f>tbl_data[[#This Row],[Avg_Total_Amount_6M]]</f>
        <v>74920</v>
      </c>
      <c r="I296">
        <f>IFERROR(tbl_Data2[[#This Row],[Tx_Count_30D]]/tbl_Data2[[#This Row],[Avg_Tx_Count_6M]],0)</f>
        <v>0.14705882352941177</v>
      </c>
      <c r="J296">
        <f>IFERROR(tbl_Data2[[#This Row],[Total_Amount_30D]]/tbl_Data2[[#This Row],[Avg_Total_Amount_6M]],0)</f>
        <v>0.54994660971703146</v>
      </c>
      <c r="K296">
        <f>_xlfn.XLOOKUP(tbl_Data2[[#This Row],[Country]], Geo_Map[Country], Geo_Map[Score], 5)</f>
        <v>9</v>
      </c>
      <c r="L296" cm="1">
        <f t="array" ref="L296">_xlfn.IFS(tbl_Data2[[#This Row],[Tx_Count_30D]]&lt;=5,2,tbl_Data2[[#This Row],[Tx_Count_30D]]&lt;=15,5,tbl_Data2[[#This Row],[Tx_Count_30D]]&lt;=30,7,tbl_Data2[[#This Row],[Tx_Count_30D]]&gt;30,9)</f>
        <v>2</v>
      </c>
      <c r="M296" cm="1">
        <f t="array" ref="M296">_xlfn.IFS(
tbl_Data2[[#This Row],[Total_Amount_30D]]&lt;10000,2,
tbl_Data2[[#This Row],[Total_Amount_30D]]&lt;25000,5,
tbl_Data2[[#This Row],[Total_Amount_30D]]&lt;50000,7,
tbl_Data2[[#This Row],[Total_Amount_30D]]&gt;=50000,9
)</f>
        <v>7</v>
      </c>
      <c r="N296" cm="1">
        <f t="array" ref="N296">_xlfn.IFS(
tbl_Data2[[#This Row],[Amount_Deviation]]&lt;1.5,2,
tbl_Data2[[#This Row],[Amount_Deviation]]&lt;3,6,
tbl_Data2[[#This Row],[Amount_Deviation]]&lt;6,8,
tbl_Data2[[#This Row],[Amount_Deviation]]&gt;=6,10
)</f>
        <v>2</v>
      </c>
      <c r="O296">
        <f>ROUND(
    (tbl_Data2[[#This Row],[Geo_Score]]*0.2) +
    (tbl_Data2[[#This Row],[Velocity_Score]]*0.25) +
    (tbl_Data2[[#This Row],[Volume_Score]]*0.25) +
    (tbl_Data2[[#This Row],[Deviation_Score]]*0.3),
1
)</f>
        <v>4.7</v>
      </c>
      <c r="P296" t="str" cm="1">
        <f t="array" ref="P296">_xlfn.IFS(
tbl_Data2[[#This Row],[Final_Risk_Score]]&lt;5.5,"Low",
tbl_Data2[[#This Row],[Final_Risk_Score]]&lt;7.5,"Medium",
tbl_Data2[[#This Row],[Final_Risk_Score]]&gt;=7.5,"High"
)</f>
        <v>Low</v>
      </c>
      <c r="Q296" t="str" cm="1">
        <f t="array" ref="Q296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  <row r="297" spans="1:17">
      <c r="A297" t="str">
        <f>tbl_data[[#This Row],[Customer_ID]]</f>
        <v>CUST-296</v>
      </c>
      <c r="B297" t="str">
        <f>tbl_data[[#This Row],[Customer_Type]]</f>
        <v>Business</v>
      </c>
      <c r="C297" t="str">
        <f>tbl_data[[#This Row],[Country]]</f>
        <v>Seychelles</v>
      </c>
      <c r="D297" t="str">
        <f>tbl_data[[#This Row],[Industry]]</f>
        <v>Consulting</v>
      </c>
      <c r="E297">
        <f>tbl_data[[#This Row],[Tx_Count_30D]]</f>
        <v>28</v>
      </c>
      <c r="F297">
        <f>tbl_data[[#This Row],[Total_Amount_30D]]</f>
        <v>27212</v>
      </c>
      <c r="G297">
        <f>tbl_data[[#This Row],[Avg_Tx_Count_6M]]</f>
        <v>35</v>
      </c>
      <c r="H297">
        <f>tbl_data[[#This Row],[Avg_Total_Amount_6M]]</f>
        <v>75690</v>
      </c>
      <c r="I297">
        <f>IFERROR(tbl_Data2[[#This Row],[Tx_Count_30D]]/tbl_Data2[[#This Row],[Avg_Tx_Count_6M]],0)</f>
        <v>0.8</v>
      </c>
      <c r="J297">
        <f>IFERROR(tbl_Data2[[#This Row],[Total_Amount_30D]]/tbl_Data2[[#This Row],[Avg_Total_Amount_6M]],0)</f>
        <v>0.35951909102919805</v>
      </c>
      <c r="K297">
        <f>_xlfn.XLOOKUP(tbl_Data2[[#This Row],[Country]], Geo_Map[Country], Geo_Map[Score], 5)</f>
        <v>9</v>
      </c>
      <c r="L297" cm="1">
        <f t="array" ref="L297">_xlfn.IFS(tbl_Data2[[#This Row],[Tx_Count_30D]]&lt;=5,2,tbl_Data2[[#This Row],[Tx_Count_30D]]&lt;=15,5,tbl_Data2[[#This Row],[Tx_Count_30D]]&lt;=30,7,tbl_Data2[[#This Row],[Tx_Count_30D]]&gt;30,9)</f>
        <v>7</v>
      </c>
      <c r="M297" cm="1">
        <f t="array" ref="M297">_xlfn.IFS(
tbl_Data2[[#This Row],[Total_Amount_30D]]&lt;10000,2,
tbl_Data2[[#This Row],[Total_Amount_30D]]&lt;25000,5,
tbl_Data2[[#This Row],[Total_Amount_30D]]&lt;50000,7,
tbl_Data2[[#This Row],[Total_Amount_30D]]&gt;=50000,9
)</f>
        <v>7</v>
      </c>
      <c r="N297" cm="1">
        <f t="array" ref="N297">_xlfn.IFS(
tbl_Data2[[#This Row],[Amount_Deviation]]&lt;1.5,2,
tbl_Data2[[#This Row],[Amount_Deviation]]&lt;3,6,
tbl_Data2[[#This Row],[Amount_Deviation]]&lt;6,8,
tbl_Data2[[#This Row],[Amount_Deviation]]&gt;=6,10
)</f>
        <v>2</v>
      </c>
      <c r="O297">
        <f>ROUND(
    (tbl_Data2[[#This Row],[Geo_Score]]*0.2) +
    (tbl_Data2[[#This Row],[Velocity_Score]]*0.25) +
    (tbl_Data2[[#This Row],[Volume_Score]]*0.25) +
    (tbl_Data2[[#This Row],[Deviation_Score]]*0.3),
1
)</f>
        <v>5.9</v>
      </c>
      <c r="P297" t="str" cm="1">
        <f t="array" ref="P297">_xlfn.IFS(
tbl_Data2[[#This Row],[Final_Risk_Score]]&lt;5.5,"Low",
tbl_Data2[[#This Row],[Final_Risk_Score]]&lt;7.5,"Medium",
tbl_Data2[[#This Row],[Final_Risk_Score]]&gt;=7.5,"High"
)</f>
        <v>Medium</v>
      </c>
      <c r="Q297" t="str" cm="1">
        <f t="array" ref="Q297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98" spans="1:17">
      <c r="A298" t="str">
        <f>tbl_data[[#This Row],[Customer_ID]]</f>
        <v>CUST-297</v>
      </c>
      <c r="B298" t="str">
        <f>tbl_data[[#This Row],[Customer_Type]]</f>
        <v>Business</v>
      </c>
      <c r="C298" t="str">
        <f>tbl_data[[#This Row],[Country]]</f>
        <v>UAE</v>
      </c>
      <c r="D298" t="str">
        <f>tbl_data[[#This Row],[Industry]]</f>
        <v>Trading</v>
      </c>
      <c r="E298">
        <f>tbl_data[[#This Row],[Tx_Count_30D]]</f>
        <v>8</v>
      </c>
      <c r="F298">
        <f>tbl_data[[#This Row],[Total_Amount_30D]]</f>
        <v>100309</v>
      </c>
      <c r="G298">
        <f>tbl_data[[#This Row],[Avg_Tx_Count_6M]]</f>
        <v>3</v>
      </c>
      <c r="H298">
        <f>tbl_data[[#This Row],[Avg_Total_Amount_6M]]</f>
        <v>17782</v>
      </c>
      <c r="I298">
        <f>IFERROR(tbl_Data2[[#This Row],[Tx_Count_30D]]/tbl_Data2[[#This Row],[Avg_Tx_Count_6M]],0)</f>
        <v>2.6666666666666665</v>
      </c>
      <c r="J298">
        <f>IFERROR(tbl_Data2[[#This Row],[Total_Amount_30D]]/tbl_Data2[[#This Row],[Avg_Total_Amount_6M]],0)</f>
        <v>5.6410415026431222</v>
      </c>
      <c r="K298">
        <f>_xlfn.XLOOKUP(tbl_Data2[[#This Row],[Country]], Geo_Map[Country], Geo_Map[Score], 5)</f>
        <v>6</v>
      </c>
      <c r="L298" cm="1">
        <f t="array" ref="L298">_xlfn.IFS(tbl_Data2[[#This Row],[Tx_Count_30D]]&lt;=5,2,tbl_Data2[[#This Row],[Tx_Count_30D]]&lt;=15,5,tbl_Data2[[#This Row],[Tx_Count_30D]]&lt;=30,7,tbl_Data2[[#This Row],[Tx_Count_30D]]&gt;30,9)</f>
        <v>5</v>
      </c>
      <c r="M298" cm="1">
        <f t="array" ref="M298">_xlfn.IFS(
tbl_Data2[[#This Row],[Total_Amount_30D]]&lt;10000,2,
tbl_Data2[[#This Row],[Total_Amount_30D]]&lt;25000,5,
tbl_Data2[[#This Row],[Total_Amount_30D]]&lt;50000,7,
tbl_Data2[[#This Row],[Total_Amount_30D]]&gt;=50000,9
)</f>
        <v>9</v>
      </c>
      <c r="N298" cm="1">
        <f t="array" ref="N298">_xlfn.IFS(
tbl_Data2[[#This Row],[Amount_Deviation]]&lt;1.5,2,
tbl_Data2[[#This Row],[Amount_Deviation]]&lt;3,6,
tbl_Data2[[#This Row],[Amount_Deviation]]&lt;6,8,
tbl_Data2[[#This Row],[Amount_Deviation]]&gt;=6,10
)</f>
        <v>8</v>
      </c>
      <c r="O298">
        <f>ROUND(
    (tbl_Data2[[#This Row],[Geo_Score]]*0.2) +
    (tbl_Data2[[#This Row],[Velocity_Score]]*0.25) +
    (tbl_Data2[[#This Row],[Volume_Score]]*0.25) +
    (tbl_Data2[[#This Row],[Deviation_Score]]*0.3),
1
)</f>
        <v>7.1</v>
      </c>
      <c r="P298" t="str" cm="1">
        <f t="array" ref="P298">_xlfn.IFS(
tbl_Data2[[#This Row],[Final_Risk_Score]]&lt;5.5,"Low",
tbl_Data2[[#This Row],[Final_Risk_Score]]&lt;7.5,"Medium",
tbl_Data2[[#This Row],[Final_Risk_Score]]&gt;=7.5,"High"
)</f>
        <v>Medium</v>
      </c>
      <c r="Q298" t="str" cm="1">
        <f t="array" ref="Q298">_xlfn.IFS(
tbl_Data2[[#This Row],[Risk_Tier]]="Low","Clear – No Further Action",
tbl_Data2[[#This Row],[Risk_Tier]]="Medium","Review Required (EDD)",
tbl_Data2[[#This Row],[Risk_Tier]]="High","Escalate for SAR Consideration"
)</f>
        <v>Review Required (EDD)</v>
      </c>
    </row>
    <row r="299" spans="1:17" hidden="1">
      <c r="A299" t="str">
        <f>tbl_data[[#This Row],[Customer_ID]]</f>
        <v>CUST-298</v>
      </c>
      <c r="B299" t="str">
        <f>tbl_data[[#This Row],[Customer_Type]]</f>
        <v>Business</v>
      </c>
      <c r="C299" t="str">
        <f>tbl_data[[#This Row],[Country]]</f>
        <v>BVI</v>
      </c>
      <c r="D299" t="str">
        <f>tbl_data[[#This Row],[Industry]]</f>
        <v>Import/Export</v>
      </c>
      <c r="E299">
        <f>tbl_data[[#This Row],[Tx_Count_30D]]</f>
        <v>52</v>
      </c>
      <c r="F299">
        <f>tbl_data[[#This Row],[Total_Amount_30D]]</f>
        <v>81530</v>
      </c>
      <c r="G299">
        <f>tbl_data[[#This Row],[Avg_Tx_Count_6M]]</f>
        <v>18</v>
      </c>
      <c r="H299">
        <f>tbl_data[[#This Row],[Avg_Total_Amount_6M]]</f>
        <v>23124</v>
      </c>
      <c r="I299">
        <f>IFERROR(tbl_Data2[[#This Row],[Tx_Count_30D]]/tbl_Data2[[#This Row],[Avg_Tx_Count_6M]],0)</f>
        <v>2.8888888888888888</v>
      </c>
      <c r="J299">
        <f>IFERROR(tbl_Data2[[#This Row],[Total_Amount_30D]]/tbl_Data2[[#This Row],[Avg_Total_Amount_6M]],0)</f>
        <v>3.5257740875281094</v>
      </c>
      <c r="K299">
        <f>_xlfn.XLOOKUP(tbl_Data2[[#This Row],[Country]], Geo_Map[Country], Geo_Map[Score], 5)</f>
        <v>9</v>
      </c>
      <c r="L299" cm="1">
        <f t="array" ref="L299">_xlfn.IFS(tbl_Data2[[#This Row],[Tx_Count_30D]]&lt;=5,2,tbl_Data2[[#This Row],[Tx_Count_30D]]&lt;=15,5,tbl_Data2[[#This Row],[Tx_Count_30D]]&lt;=30,7,tbl_Data2[[#This Row],[Tx_Count_30D]]&gt;30,9)</f>
        <v>9</v>
      </c>
      <c r="M299" cm="1">
        <f t="array" ref="M299">_xlfn.IFS(
tbl_Data2[[#This Row],[Total_Amount_30D]]&lt;10000,2,
tbl_Data2[[#This Row],[Total_Amount_30D]]&lt;25000,5,
tbl_Data2[[#This Row],[Total_Amount_30D]]&lt;50000,7,
tbl_Data2[[#This Row],[Total_Amount_30D]]&gt;=50000,9
)</f>
        <v>9</v>
      </c>
      <c r="N299" cm="1">
        <f t="array" ref="N299">_xlfn.IFS(
tbl_Data2[[#This Row],[Amount_Deviation]]&lt;1.5,2,
tbl_Data2[[#This Row],[Amount_Deviation]]&lt;3,6,
tbl_Data2[[#This Row],[Amount_Deviation]]&lt;6,8,
tbl_Data2[[#This Row],[Amount_Deviation]]&gt;=6,10
)</f>
        <v>8</v>
      </c>
      <c r="O299">
        <f>ROUND(
    (tbl_Data2[[#This Row],[Geo_Score]]*0.2) +
    (tbl_Data2[[#This Row],[Velocity_Score]]*0.25) +
    (tbl_Data2[[#This Row],[Volume_Score]]*0.25) +
    (tbl_Data2[[#This Row],[Deviation_Score]]*0.3),
1
)</f>
        <v>8.6999999999999993</v>
      </c>
      <c r="P299" t="str" cm="1">
        <f t="array" ref="P299">_xlfn.IFS(
tbl_Data2[[#This Row],[Final_Risk_Score]]&lt;5.5,"Low",
tbl_Data2[[#This Row],[Final_Risk_Score]]&lt;7.5,"Medium",
tbl_Data2[[#This Row],[Final_Risk_Score]]&gt;=7.5,"High"
)</f>
        <v>High</v>
      </c>
      <c r="Q299" t="str" cm="1">
        <f t="array" ref="Q299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300" spans="1:17" hidden="1">
      <c r="A300" t="str">
        <f>tbl_data[[#This Row],[Customer_ID]]</f>
        <v>CUST-299</v>
      </c>
      <c r="B300" t="str">
        <f>tbl_data[[#This Row],[Customer_Type]]</f>
        <v>Business</v>
      </c>
      <c r="C300" t="str">
        <f>tbl_data[[#This Row],[Country]]</f>
        <v>Panama</v>
      </c>
      <c r="D300" t="str">
        <f>tbl_data[[#This Row],[Industry]]</f>
        <v>IT Services</v>
      </c>
      <c r="E300">
        <f>tbl_data[[#This Row],[Tx_Count_30D]]</f>
        <v>60</v>
      </c>
      <c r="F300">
        <f>tbl_data[[#This Row],[Total_Amount_30D]]</f>
        <v>80556</v>
      </c>
      <c r="G300">
        <f>tbl_data[[#This Row],[Avg_Tx_Count_6M]]</f>
        <v>16</v>
      </c>
      <c r="H300">
        <f>tbl_data[[#This Row],[Avg_Total_Amount_6M]]</f>
        <v>38745</v>
      </c>
      <c r="I300">
        <f>IFERROR(tbl_Data2[[#This Row],[Tx_Count_30D]]/tbl_Data2[[#This Row],[Avg_Tx_Count_6M]],0)</f>
        <v>3.75</v>
      </c>
      <c r="J300">
        <f>IFERROR(tbl_Data2[[#This Row],[Total_Amount_30D]]/tbl_Data2[[#This Row],[Avg_Total_Amount_6M]],0)</f>
        <v>2.0791327913279134</v>
      </c>
      <c r="K300">
        <f>_xlfn.XLOOKUP(tbl_Data2[[#This Row],[Country]], Geo_Map[Country], Geo_Map[Score], 5)</f>
        <v>8</v>
      </c>
      <c r="L300" cm="1">
        <f t="array" ref="L300">_xlfn.IFS(tbl_Data2[[#This Row],[Tx_Count_30D]]&lt;=5,2,tbl_Data2[[#This Row],[Tx_Count_30D]]&lt;=15,5,tbl_Data2[[#This Row],[Tx_Count_30D]]&lt;=30,7,tbl_Data2[[#This Row],[Tx_Count_30D]]&gt;30,9)</f>
        <v>9</v>
      </c>
      <c r="M300" cm="1">
        <f t="array" ref="M300">_xlfn.IFS(
tbl_Data2[[#This Row],[Total_Amount_30D]]&lt;10000,2,
tbl_Data2[[#This Row],[Total_Amount_30D]]&lt;25000,5,
tbl_Data2[[#This Row],[Total_Amount_30D]]&lt;50000,7,
tbl_Data2[[#This Row],[Total_Amount_30D]]&gt;=50000,9
)</f>
        <v>9</v>
      </c>
      <c r="N300" cm="1">
        <f t="array" ref="N300">_xlfn.IFS(
tbl_Data2[[#This Row],[Amount_Deviation]]&lt;1.5,2,
tbl_Data2[[#This Row],[Amount_Deviation]]&lt;3,6,
tbl_Data2[[#This Row],[Amount_Deviation]]&lt;6,8,
tbl_Data2[[#This Row],[Amount_Deviation]]&gt;=6,10
)</f>
        <v>6</v>
      </c>
      <c r="O300">
        <f>ROUND(
    (tbl_Data2[[#This Row],[Geo_Score]]*0.2) +
    (tbl_Data2[[#This Row],[Velocity_Score]]*0.25) +
    (tbl_Data2[[#This Row],[Volume_Score]]*0.25) +
    (tbl_Data2[[#This Row],[Deviation_Score]]*0.3),
1
)</f>
        <v>7.9</v>
      </c>
      <c r="P300" t="str" cm="1">
        <f t="array" ref="P300">_xlfn.IFS(
tbl_Data2[[#This Row],[Final_Risk_Score]]&lt;5.5,"Low",
tbl_Data2[[#This Row],[Final_Risk_Score]]&lt;7.5,"Medium",
tbl_Data2[[#This Row],[Final_Risk_Score]]&gt;=7.5,"High"
)</f>
        <v>High</v>
      </c>
      <c r="Q300" t="str" cm="1">
        <f t="array" ref="Q300">_xlfn.IFS(
tbl_Data2[[#This Row],[Risk_Tier]]="Low","Clear – No Further Action",
tbl_Data2[[#This Row],[Risk_Tier]]="Medium","Review Required (EDD)",
tbl_Data2[[#This Row],[Risk_Tier]]="High","Escalate for SAR Consideration"
)</f>
        <v>Escalate for SAR Consideration</v>
      </c>
    </row>
    <row r="301" spans="1:17" hidden="1">
      <c r="A301" t="str">
        <f>tbl_data[[#This Row],[Customer_ID]]</f>
        <v>CUST-300</v>
      </c>
      <c r="B301" t="str">
        <f>tbl_data[[#This Row],[Customer_Type]]</f>
        <v>Individual</v>
      </c>
      <c r="C301" t="str">
        <f>tbl_data[[#This Row],[Country]]</f>
        <v>USA</v>
      </c>
      <c r="D301" t="str">
        <f>tbl_data[[#This Row],[Industry]]</f>
        <v>Manufacturing</v>
      </c>
      <c r="E301">
        <f>tbl_data[[#This Row],[Tx_Count_30D]]</f>
        <v>38</v>
      </c>
      <c r="F301">
        <f>tbl_data[[#This Row],[Total_Amount_30D]]</f>
        <v>52861</v>
      </c>
      <c r="G301">
        <f>tbl_data[[#This Row],[Avg_Tx_Count_6M]]</f>
        <v>21</v>
      </c>
      <c r="H301">
        <f>tbl_data[[#This Row],[Avg_Total_Amount_6M]]</f>
        <v>70106</v>
      </c>
      <c r="I301">
        <f>IFERROR(tbl_Data2[[#This Row],[Tx_Count_30D]]/tbl_Data2[[#This Row],[Avg_Tx_Count_6M]],0)</f>
        <v>1.8095238095238095</v>
      </c>
      <c r="J301">
        <f>IFERROR(tbl_Data2[[#This Row],[Total_Amount_30D]]/tbl_Data2[[#This Row],[Avg_Total_Amount_6M]],0)</f>
        <v>0.75401534818703109</v>
      </c>
      <c r="K301">
        <f>_xlfn.XLOOKUP(tbl_Data2[[#This Row],[Country]], Geo_Map[Country], Geo_Map[Score], 5)</f>
        <v>1</v>
      </c>
      <c r="L301" cm="1">
        <f t="array" ref="L301">_xlfn.IFS(tbl_Data2[[#This Row],[Tx_Count_30D]]&lt;=5,2,tbl_Data2[[#This Row],[Tx_Count_30D]]&lt;=15,5,tbl_Data2[[#This Row],[Tx_Count_30D]]&lt;=30,7,tbl_Data2[[#This Row],[Tx_Count_30D]]&gt;30,9)</f>
        <v>9</v>
      </c>
      <c r="M301" cm="1">
        <f t="array" ref="M301">_xlfn.IFS(
tbl_Data2[[#This Row],[Total_Amount_30D]]&lt;10000,2,
tbl_Data2[[#This Row],[Total_Amount_30D]]&lt;25000,5,
tbl_Data2[[#This Row],[Total_Amount_30D]]&lt;50000,7,
tbl_Data2[[#This Row],[Total_Amount_30D]]&gt;=50000,9
)</f>
        <v>9</v>
      </c>
      <c r="N301" cm="1">
        <f t="array" ref="N301">_xlfn.IFS(
tbl_Data2[[#This Row],[Amount_Deviation]]&lt;1.5,2,
tbl_Data2[[#This Row],[Amount_Deviation]]&lt;3,6,
tbl_Data2[[#This Row],[Amount_Deviation]]&lt;6,8,
tbl_Data2[[#This Row],[Amount_Deviation]]&gt;=6,10
)</f>
        <v>2</v>
      </c>
      <c r="O301">
        <f>ROUND(
    (tbl_Data2[[#This Row],[Geo_Score]]*0.2) +
    (tbl_Data2[[#This Row],[Velocity_Score]]*0.25) +
    (tbl_Data2[[#This Row],[Volume_Score]]*0.25) +
    (tbl_Data2[[#This Row],[Deviation_Score]]*0.3),
1
)</f>
        <v>5.3</v>
      </c>
      <c r="P301" t="str" cm="1">
        <f t="array" ref="P301">_xlfn.IFS(
tbl_Data2[[#This Row],[Final_Risk_Score]]&lt;5.5,"Low",
tbl_Data2[[#This Row],[Final_Risk_Score]]&lt;7.5,"Medium",
tbl_Data2[[#This Row],[Final_Risk_Score]]&gt;=7.5,"High"
)</f>
        <v>Low</v>
      </c>
      <c r="Q301" t="str" cm="1">
        <f t="array" ref="Q301">_xlfn.IFS(
tbl_Data2[[#This Row],[Risk_Tier]]="Low","Clear – No Further Action",
tbl_Data2[[#This Row],[Risk_Tier]]="Medium","Review Required (EDD)",
tbl_Data2[[#This Row],[Risk_Tier]]="High","Escalate for SAR Consideration"
)</f>
        <v>Clear – No Further Action</v>
      </c>
    </row>
  </sheetData>
  <mergeCells count="1">
    <mergeCell ref="S1:T1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CC739-DD9B-4E30-904C-33AD79C9698D}">
  <sheetPr>
    <pageSetUpPr autoPageBreaks="0"/>
  </sheetPr>
  <dimension ref="A1:R301"/>
  <sheetViews>
    <sheetView zoomScale="80" zoomScaleNormal="80" workbookViewId="0">
      <pane ySplit="1" topLeftCell="A2" activePane="bottomLeft" state="frozen"/>
      <selection pane="bottomLeft" activeCell="C28" sqref="C28"/>
    </sheetView>
  </sheetViews>
  <sheetFormatPr defaultRowHeight="14.5"/>
  <cols>
    <col min="1" max="1" width="13.81640625" customWidth="1"/>
    <col min="2" max="2" width="17.1796875" customWidth="1"/>
    <col min="3" max="3" width="16.6328125" bestFit="1" customWidth="1"/>
    <col min="4" max="4" width="19.6328125" bestFit="1" customWidth="1"/>
    <col min="18" max="18" width="24.6328125" customWidth="1"/>
  </cols>
  <sheetData>
    <row r="1" spans="1:18" ht="15" thickBot="1">
      <c r="A1" t="s">
        <v>0</v>
      </c>
      <c r="B1" t="s">
        <v>326</v>
      </c>
      <c r="C1" t="s">
        <v>339</v>
      </c>
      <c r="D1" s="15" t="s">
        <v>338</v>
      </c>
      <c r="E1" s="16"/>
    </row>
    <row r="2" spans="1:18">
      <c r="A2" t="str">
        <f>tbl_Data2[[#This Row],[Customer_ID]]</f>
        <v>CUST-001</v>
      </c>
      <c r="B2">
        <f>tbl_Data2[[#This Row],[Final_Risk_Score]]</f>
        <v>7.5</v>
      </c>
      <c r="C2" t="str">
        <f>IF(tbl_threshold[[#This Row],[Final_Risk_Score]]&gt;=$E$2,"High",
IF(tbl_threshold[[#This Row],[Final_Risk_Score]]&gt;=$E$3,"Medium","Low"))</f>
        <v>High</v>
      </c>
      <c r="D2" s="5" t="s">
        <v>356</v>
      </c>
      <c r="E2" s="6">
        <v>7.5</v>
      </c>
    </row>
    <row r="3" spans="1:18" ht="14.5" customHeight="1">
      <c r="A3" t="str">
        <f>tbl_Data2[[#This Row],[Customer_ID]]</f>
        <v>CUST-002</v>
      </c>
      <c r="B3">
        <f>tbl_Data2[[#This Row],[Final_Risk_Score]]</f>
        <v>6.4</v>
      </c>
      <c r="C3" t="str">
        <f>IF(tbl_threshold[[#This Row],[Final_Risk_Score]]&gt;=$E$2,"High",
IF(tbl_threshold[[#This Row],[Final_Risk_Score]]&gt;=$E$3,"Medium","Low"))</f>
        <v>Medium</v>
      </c>
      <c r="D3" s="5" t="s">
        <v>357</v>
      </c>
      <c r="E3" s="6">
        <v>5.5</v>
      </c>
      <c r="I3" s="17" t="s">
        <v>358</v>
      </c>
      <c r="J3" s="17"/>
      <c r="K3" s="17"/>
      <c r="L3" s="17"/>
      <c r="M3" s="17"/>
      <c r="N3" s="17"/>
      <c r="O3" s="17"/>
      <c r="P3" s="17"/>
      <c r="Q3" s="17"/>
      <c r="R3" s="17"/>
    </row>
    <row r="4" spans="1:18">
      <c r="A4" t="str">
        <f>tbl_Data2[[#This Row],[Customer_ID]]</f>
        <v>CUST-003</v>
      </c>
      <c r="B4">
        <f>tbl_Data2[[#This Row],[Final_Risk_Score]]</f>
        <v>7.1</v>
      </c>
      <c r="C4" t="str">
        <f>IF(tbl_threshold[[#This Row],[Final_Risk_Score]]&gt;=$E$2,"High",
IF(tbl_threshold[[#This Row],[Final_Risk_Score]]&gt;=$E$3,"Medium","Low"))</f>
        <v>Medium</v>
      </c>
      <c r="D4" s="5"/>
      <c r="E4" s="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>
      <c r="A5" t="str">
        <f>tbl_Data2[[#This Row],[Customer_ID]]</f>
        <v>CUST-004</v>
      </c>
      <c r="B5">
        <f>tbl_Data2[[#This Row],[Final_Risk_Score]]</f>
        <v>8.6999999999999993</v>
      </c>
      <c r="C5" t="str">
        <f>IF(tbl_threshold[[#This Row],[Final_Risk_Score]]&gt;=$E$2,"High",
IF(tbl_threshold[[#This Row],[Final_Risk_Score]]&gt;=$E$3,"Medium","Low"))</f>
        <v>High</v>
      </c>
      <c r="D5" s="5" t="s">
        <v>340</v>
      </c>
      <c r="E5" s="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8">
      <c r="A6" t="str">
        <f>tbl_Data2[[#This Row],[Customer_ID]]</f>
        <v>CUST-005</v>
      </c>
      <c r="B6">
        <f>tbl_Data2[[#This Row],[Final_Risk_Score]]</f>
        <v>7.7</v>
      </c>
      <c r="C6" t="str">
        <f>IF(tbl_threshold[[#This Row],[Final_Risk_Score]]&gt;=$E$2,"High",
IF(tbl_threshold[[#This Row],[Final_Risk_Score]]&gt;=$E$3,"Medium","Low"))</f>
        <v>High</v>
      </c>
      <c r="D6" s="5" t="s">
        <v>341</v>
      </c>
      <c r="E6" s="7">
        <f>COUNTIF(tbl_threshold[Test_Risk_Tier],"High")</f>
        <v>83</v>
      </c>
      <c r="I6" s="17"/>
      <c r="J6" s="17"/>
      <c r="K6" s="17"/>
      <c r="L6" s="17"/>
      <c r="M6" s="17"/>
      <c r="N6" s="17"/>
      <c r="O6" s="17"/>
      <c r="P6" s="17"/>
      <c r="Q6" s="17"/>
      <c r="R6" s="17"/>
    </row>
    <row r="7" spans="1:18">
      <c r="A7" t="str">
        <f>tbl_Data2[[#This Row],[Customer_ID]]</f>
        <v>CUST-006</v>
      </c>
      <c r="B7">
        <f>tbl_Data2[[#This Row],[Final_Risk_Score]]</f>
        <v>6.4</v>
      </c>
      <c r="C7" t="str">
        <f>IF(tbl_threshold[[#This Row],[Final_Risk_Score]]&gt;=$E$2,"High",
IF(tbl_threshold[[#This Row],[Final_Risk_Score]]&gt;=$E$3,"Medium","Low"))</f>
        <v>Medium</v>
      </c>
      <c r="D7" s="5" t="s">
        <v>342</v>
      </c>
      <c r="E7" s="7">
        <f>COUNTIF(tbl_threshold[Test_Risk_Tier],"Medium")</f>
        <v>155</v>
      </c>
      <c r="I7" s="17"/>
      <c r="J7" s="17"/>
      <c r="K7" s="17"/>
      <c r="L7" s="17"/>
      <c r="M7" s="17"/>
      <c r="N7" s="17"/>
      <c r="O7" s="17"/>
      <c r="P7" s="17"/>
      <c r="Q7" s="17"/>
      <c r="R7" s="17"/>
    </row>
    <row r="8" spans="1:18">
      <c r="A8" t="str">
        <f>tbl_Data2[[#This Row],[Customer_ID]]</f>
        <v>CUST-007</v>
      </c>
      <c r="B8">
        <f>tbl_Data2[[#This Row],[Final_Risk_Score]]</f>
        <v>3.3</v>
      </c>
      <c r="C8" t="str">
        <f>IF(tbl_threshold[[#This Row],[Final_Risk_Score]]&gt;=$E$2,"High",
IF(tbl_threshold[[#This Row],[Final_Risk_Score]]&gt;=$E$3,"Medium","Low"))</f>
        <v>Low</v>
      </c>
      <c r="D8" s="5" t="s">
        <v>343</v>
      </c>
      <c r="E8" s="7">
        <f>COUNTIF(tbl_threshold[Test_Risk_Tier],"Low")</f>
        <v>62</v>
      </c>
      <c r="I8" s="17"/>
      <c r="J8" s="17"/>
      <c r="K8" s="17"/>
      <c r="L8" s="17"/>
      <c r="M8" s="17"/>
      <c r="N8" s="17"/>
      <c r="O8" s="17"/>
      <c r="P8" s="17"/>
      <c r="Q8" s="17"/>
      <c r="R8" s="17"/>
    </row>
    <row r="9" spans="1:18">
      <c r="A9" t="str">
        <f>tbl_Data2[[#This Row],[Customer_ID]]</f>
        <v>CUST-008</v>
      </c>
      <c r="B9">
        <f>tbl_Data2[[#This Row],[Final_Risk_Score]]</f>
        <v>5.3</v>
      </c>
      <c r="C9" t="str">
        <f>IF(tbl_threshold[[#This Row],[Final_Risk_Score]]&gt;=$E$2,"High",
IF(tbl_threshold[[#This Row],[Final_Risk_Score]]&gt;=$E$3,"Medium","Low"))</f>
        <v>Low</v>
      </c>
      <c r="D9" s="5" t="s">
        <v>344</v>
      </c>
      <c r="E9" s="7">
        <f>ROWS(tbl_threshold[Customer_ID])</f>
        <v>300</v>
      </c>
      <c r="I9" s="17"/>
      <c r="J9" s="17"/>
      <c r="K9" s="17"/>
      <c r="L9" s="17"/>
      <c r="M9" s="17"/>
      <c r="N9" s="17"/>
      <c r="O9" s="17"/>
      <c r="P9" s="17"/>
      <c r="Q9" s="17"/>
      <c r="R9" s="17"/>
    </row>
    <row r="10" spans="1:18">
      <c r="A10" t="str">
        <f>tbl_Data2[[#This Row],[Customer_ID]]</f>
        <v>CUST-009</v>
      </c>
      <c r="B10">
        <f>tbl_Data2[[#This Row],[Final_Risk_Score]]</f>
        <v>7</v>
      </c>
      <c r="C10" t="str">
        <f>IF(tbl_threshold[[#This Row],[Final_Risk_Score]]&gt;=$E$2,"High",
IF(tbl_threshold[[#This Row],[Final_Risk_Score]]&gt;=$E$3,"Medium","Low"))</f>
        <v>Medium</v>
      </c>
      <c r="D10" s="5" t="s">
        <v>345</v>
      </c>
      <c r="E10" s="8">
        <f>E6/E9</f>
        <v>0.27666666666666667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</row>
    <row r="11" spans="1:18">
      <c r="A11" t="str">
        <f>tbl_Data2[[#This Row],[Customer_ID]]</f>
        <v>CUST-010</v>
      </c>
      <c r="B11">
        <f>tbl_Data2[[#This Row],[Final_Risk_Score]]</f>
        <v>8.1999999999999993</v>
      </c>
      <c r="C11" t="str">
        <f>IF(tbl_threshold[[#This Row],[Final_Risk_Score]]&gt;=$E$2,"High",
IF(tbl_threshold[[#This Row],[Final_Risk_Score]]&gt;=$E$3,"Medium","Low"))</f>
        <v>High</v>
      </c>
      <c r="D11" s="5" t="s">
        <v>346</v>
      </c>
      <c r="E11" s="8">
        <f>E7/E9</f>
        <v>0.51666666666666672</v>
      </c>
    </row>
    <row r="12" spans="1:18" ht="15" thickBot="1">
      <c r="A12" t="str">
        <f>tbl_Data2[[#This Row],[Customer_ID]]</f>
        <v>CUST-011</v>
      </c>
      <c r="B12">
        <f>tbl_Data2[[#This Row],[Final_Risk_Score]]</f>
        <v>4.3</v>
      </c>
      <c r="C12" t="str">
        <f>IF(tbl_threshold[[#This Row],[Final_Risk_Score]]&gt;=$E$2,"High",
IF(tbl_threshold[[#This Row],[Final_Risk_Score]]&gt;=$E$3,"Medium","Low"))</f>
        <v>Low</v>
      </c>
      <c r="D12" s="9" t="s">
        <v>347</v>
      </c>
      <c r="E12" s="10">
        <f>E8/E9</f>
        <v>0.20666666666666667</v>
      </c>
    </row>
    <row r="13" spans="1:18">
      <c r="A13" t="str">
        <f>tbl_Data2[[#This Row],[Customer_ID]]</f>
        <v>CUST-012</v>
      </c>
      <c r="B13">
        <f>tbl_Data2[[#This Row],[Final_Risk_Score]]</f>
        <v>6.9</v>
      </c>
      <c r="C13" t="str">
        <f>IF(tbl_threshold[[#This Row],[Final_Risk_Score]]&gt;=$E$2,"High",
IF(tbl_threshold[[#This Row],[Final_Risk_Score]]&gt;=$E$3,"Medium","Low"))</f>
        <v>Medium</v>
      </c>
    </row>
    <row r="14" spans="1:18">
      <c r="A14" t="str">
        <f>tbl_Data2[[#This Row],[Customer_ID]]</f>
        <v>CUST-013</v>
      </c>
      <c r="B14">
        <f>tbl_Data2[[#This Row],[Final_Risk_Score]]</f>
        <v>7.2</v>
      </c>
      <c r="C14" t="str">
        <f>IF(tbl_threshold[[#This Row],[Final_Risk_Score]]&gt;=$E$2,"High",
IF(tbl_threshold[[#This Row],[Final_Risk_Score]]&gt;=$E$3,"Medium","Low"))</f>
        <v>Medium</v>
      </c>
    </row>
    <row r="15" spans="1:18">
      <c r="A15" t="str">
        <f>tbl_Data2[[#This Row],[Customer_ID]]</f>
        <v>CUST-014</v>
      </c>
      <c r="B15">
        <f>tbl_Data2[[#This Row],[Final_Risk_Score]]</f>
        <v>9.1</v>
      </c>
      <c r="C15" t="str">
        <f>IF(tbl_threshold[[#This Row],[Final_Risk_Score]]&gt;=$E$2,"High",
IF(tbl_threshold[[#This Row],[Final_Risk_Score]]&gt;=$E$3,"Medium","Low"))</f>
        <v>High</v>
      </c>
    </row>
    <row r="16" spans="1:18">
      <c r="A16" t="str">
        <f>tbl_Data2[[#This Row],[Customer_ID]]</f>
        <v>CUST-015</v>
      </c>
      <c r="B16">
        <f>tbl_Data2[[#This Row],[Final_Risk_Score]]</f>
        <v>7.5</v>
      </c>
      <c r="C16" t="str">
        <f>IF(tbl_threshold[[#This Row],[Final_Risk_Score]]&gt;=$E$2,"High",
IF(tbl_threshold[[#This Row],[Final_Risk_Score]]&gt;=$E$3,"Medium","Low"))</f>
        <v>High</v>
      </c>
    </row>
    <row r="17" spans="1:3">
      <c r="A17" t="str">
        <f>tbl_Data2[[#This Row],[Customer_ID]]</f>
        <v>CUST-016</v>
      </c>
      <c r="B17">
        <f>tbl_Data2[[#This Row],[Final_Risk_Score]]</f>
        <v>8.6999999999999993</v>
      </c>
      <c r="C17" t="str">
        <f>IF(tbl_threshold[[#This Row],[Final_Risk_Score]]&gt;=$E$2,"High",
IF(tbl_threshold[[#This Row],[Final_Risk_Score]]&gt;=$E$3,"Medium","Low"))</f>
        <v>High</v>
      </c>
    </row>
    <row r="18" spans="1:3">
      <c r="A18" t="str">
        <f>tbl_Data2[[#This Row],[Customer_ID]]</f>
        <v>CUST-017</v>
      </c>
      <c r="B18">
        <f>tbl_Data2[[#This Row],[Final_Risk_Score]]</f>
        <v>4.2</v>
      </c>
      <c r="C18" t="str">
        <f>IF(tbl_threshold[[#This Row],[Final_Risk_Score]]&gt;=$E$2,"High",
IF(tbl_threshold[[#This Row],[Final_Risk_Score]]&gt;=$E$3,"Medium","Low"))</f>
        <v>Low</v>
      </c>
    </row>
    <row r="19" spans="1:3">
      <c r="A19" t="str">
        <f>tbl_Data2[[#This Row],[Customer_ID]]</f>
        <v>CUST-018</v>
      </c>
      <c r="B19">
        <f>tbl_Data2[[#This Row],[Final_Risk_Score]]</f>
        <v>7.1</v>
      </c>
      <c r="C19" t="str">
        <f>IF(tbl_threshold[[#This Row],[Final_Risk_Score]]&gt;=$E$2,"High",
IF(tbl_threshold[[#This Row],[Final_Risk_Score]]&gt;=$E$3,"Medium","Low"))</f>
        <v>Medium</v>
      </c>
    </row>
    <row r="20" spans="1:3">
      <c r="A20" t="str">
        <f>tbl_Data2[[#This Row],[Customer_ID]]</f>
        <v>CUST-019</v>
      </c>
      <c r="B20">
        <f>tbl_Data2[[#This Row],[Final_Risk_Score]]</f>
        <v>7.5</v>
      </c>
      <c r="C20" t="str">
        <f>IF(tbl_threshold[[#This Row],[Final_Risk_Score]]&gt;=$E$2,"High",
IF(tbl_threshold[[#This Row],[Final_Risk_Score]]&gt;=$E$3,"Medium","Low"))</f>
        <v>High</v>
      </c>
    </row>
    <row r="21" spans="1:3">
      <c r="A21" t="str">
        <f>tbl_Data2[[#This Row],[Customer_ID]]</f>
        <v>CUST-020</v>
      </c>
      <c r="B21">
        <f>tbl_Data2[[#This Row],[Final_Risk_Score]]</f>
        <v>7.6</v>
      </c>
      <c r="C21" t="str">
        <f>IF(tbl_threshold[[#This Row],[Final_Risk_Score]]&gt;=$E$2,"High",
IF(tbl_threshold[[#This Row],[Final_Risk_Score]]&gt;=$E$3,"Medium","Low"))</f>
        <v>High</v>
      </c>
    </row>
    <row r="22" spans="1:3">
      <c r="A22" t="str">
        <f>tbl_Data2[[#This Row],[Customer_ID]]</f>
        <v>CUST-021</v>
      </c>
      <c r="B22">
        <f>tbl_Data2[[#This Row],[Final_Risk_Score]]</f>
        <v>5.9</v>
      </c>
      <c r="C22" t="str">
        <f>IF(tbl_threshold[[#This Row],[Final_Risk_Score]]&gt;=$E$2,"High",
IF(tbl_threshold[[#This Row],[Final_Risk_Score]]&gt;=$E$3,"Medium","Low"))</f>
        <v>Medium</v>
      </c>
    </row>
    <row r="23" spans="1:3">
      <c r="A23" t="str">
        <f>tbl_Data2[[#This Row],[Customer_ID]]</f>
        <v>CUST-022</v>
      </c>
      <c r="B23">
        <f>tbl_Data2[[#This Row],[Final_Risk_Score]]</f>
        <v>7</v>
      </c>
      <c r="C23" t="str">
        <f>IF(tbl_threshold[[#This Row],[Final_Risk_Score]]&gt;=$E$2,"High",
IF(tbl_threshold[[#This Row],[Final_Risk_Score]]&gt;=$E$3,"Medium","Low"))</f>
        <v>Medium</v>
      </c>
    </row>
    <row r="24" spans="1:3">
      <c r="A24" t="str">
        <f>tbl_Data2[[#This Row],[Customer_ID]]</f>
        <v>CUST-023</v>
      </c>
      <c r="B24">
        <f>tbl_Data2[[#This Row],[Final_Risk_Score]]</f>
        <v>5.9</v>
      </c>
      <c r="C24" t="str">
        <f>IF(tbl_threshold[[#This Row],[Final_Risk_Score]]&gt;=$E$2,"High",
IF(tbl_threshold[[#This Row],[Final_Risk_Score]]&gt;=$E$3,"Medium","Low"))</f>
        <v>Medium</v>
      </c>
    </row>
    <row r="25" spans="1:3">
      <c r="A25" t="str">
        <f>tbl_Data2[[#This Row],[Customer_ID]]</f>
        <v>CUST-024</v>
      </c>
      <c r="B25">
        <f>tbl_Data2[[#This Row],[Final_Risk_Score]]</f>
        <v>7.6</v>
      </c>
      <c r="C25" t="str">
        <f>IF(tbl_threshold[[#This Row],[Final_Risk_Score]]&gt;=$E$2,"High",
IF(tbl_threshold[[#This Row],[Final_Risk_Score]]&gt;=$E$3,"Medium","Low"))</f>
        <v>High</v>
      </c>
    </row>
    <row r="26" spans="1:3">
      <c r="A26" t="str">
        <f>tbl_Data2[[#This Row],[Customer_ID]]</f>
        <v>CUST-025</v>
      </c>
      <c r="B26">
        <f>tbl_Data2[[#This Row],[Final_Risk_Score]]</f>
        <v>6.5</v>
      </c>
      <c r="C26" t="str">
        <f>IF(tbl_threshold[[#This Row],[Final_Risk_Score]]&gt;=$E$2,"High",
IF(tbl_threshold[[#This Row],[Final_Risk_Score]]&gt;=$E$3,"Medium","Low"))</f>
        <v>Medium</v>
      </c>
    </row>
    <row r="27" spans="1:3">
      <c r="A27" t="str">
        <f>tbl_Data2[[#This Row],[Customer_ID]]</f>
        <v>CUST-026</v>
      </c>
      <c r="B27">
        <f>tbl_Data2[[#This Row],[Final_Risk_Score]]</f>
        <v>6.4</v>
      </c>
      <c r="C27" t="str">
        <f>IF(tbl_threshold[[#This Row],[Final_Risk_Score]]&gt;=$E$2,"High",
IF(tbl_threshold[[#This Row],[Final_Risk_Score]]&gt;=$E$3,"Medium","Low"))</f>
        <v>Medium</v>
      </c>
    </row>
    <row r="28" spans="1:3">
      <c r="A28" t="str">
        <f>tbl_Data2[[#This Row],[Customer_ID]]</f>
        <v>CUST-027</v>
      </c>
      <c r="B28">
        <f>tbl_Data2[[#This Row],[Final_Risk_Score]]</f>
        <v>6</v>
      </c>
      <c r="C28" t="str">
        <f>IF(tbl_threshold[[#This Row],[Final_Risk_Score]]&gt;=$E$2,"High",
IF(tbl_threshold[[#This Row],[Final_Risk_Score]]&gt;=$E$3,"Medium","Low"))</f>
        <v>Medium</v>
      </c>
    </row>
    <row r="29" spans="1:3">
      <c r="A29" t="str">
        <f>tbl_Data2[[#This Row],[Customer_ID]]</f>
        <v>CUST-028</v>
      </c>
      <c r="B29">
        <f>tbl_Data2[[#This Row],[Final_Risk_Score]]</f>
        <v>8.6999999999999993</v>
      </c>
      <c r="C29" t="str">
        <f>IF(tbl_threshold[[#This Row],[Final_Risk_Score]]&gt;=$E$2,"High",
IF(tbl_threshold[[#This Row],[Final_Risk_Score]]&gt;=$E$3,"Medium","Low"))</f>
        <v>High</v>
      </c>
    </row>
    <row r="30" spans="1:3">
      <c r="A30" t="str">
        <f>tbl_Data2[[#This Row],[Customer_ID]]</f>
        <v>CUST-029</v>
      </c>
      <c r="B30">
        <f>tbl_Data2[[#This Row],[Final_Risk_Score]]</f>
        <v>7</v>
      </c>
      <c r="C30" t="str">
        <f>IF(tbl_threshold[[#This Row],[Final_Risk_Score]]&gt;=$E$2,"High",
IF(tbl_threshold[[#This Row],[Final_Risk_Score]]&gt;=$E$3,"Medium","Low"))</f>
        <v>Medium</v>
      </c>
    </row>
    <row r="31" spans="1:3">
      <c r="A31" t="str">
        <f>tbl_Data2[[#This Row],[Customer_ID]]</f>
        <v>CUST-030</v>
      </c>
      <c r="B31">
        <f>tbl_Data2[[#This Row],[Final_Risk_Score]]</f>
        <v>6.1</v>
      </c>
      <c r="C31" t="str">
        <f>IF(tbl_threshold[[#This Row],[Final_Risk_Score]]&gt;=$E$2,"High",
IF(tbl_threshold[[#This Row],[Final_Risk_Score]]&gt;=$E$3,"Medium","Low"))</f>
        <v>Medium</v>
      </c>
    </row>
    <row r="32" spans="1:3">
      <c r="A32" t="str">
        <f>tbl_Data2[[#This Row],[Customer_ID]]</f>
        <v>CUST-031</v>
      </c>
      <c r="B32">
        <f>tbl_Data2[[#This Row],[Final_Risk_Score]]</f>
        <v>5.2</v>
      </c>
      <c r="C32" t="str">
        <f>IF(tbl_threshold[[#This Row],[Final_Risk_Score]]&gt;=$E$2,"High",
IF(tbl_threshold[[#This Row],[Final_Risk_Score]]&gt;=$E$3,"Medium","Low"))</f>
        <v>Low</v>
      </c>
    </row>
    <row r="33" spans="1:3">
      <c r="A33" t="str">
        <f>tbl_Data2[[#This Row],[Customer_ID]]</f>
        <v>CUST-032</v>
      </c>
      <c r="B33">
        <f>tbl_Data2[[#This Row],[Final_Risk_Score]]</f>
        <v>7.9</v>
      </c>
      <c r="C33" t="str">
        <f>IF(tbl_threshold[[#This Row],[Final_Risk_Score]]&gt;=$E$2,"High",
IF(tbl_threshold[[#This Row],[Final_Risk_Score]]&gt;=$E$3,"Medium","Low"))</f>
        <v>High</v>
      </c>
    </row>
    <row r="34" spans="1:3">
      <c r="A34" t="str">
        <f>tbl_Data2[[#This Row],[Customer_ID]]</f>
        <v>CUST-033</v>
      </c>
      <c r="B34">
        <f>tbl_Data2[[#This Row],[Final_Risk_Score]]</f>
        <v>4.5999999999999996</v>
      </c>
      <c r="C34" t="str">
        <f>IF(tbl_threshold[[#This Row],[Final_Risk_Score]]&gt;=$E$2,"High",
IF(tbl_threshold[[#This Row],[Final_Risk_Score]]&gt;=$E$3,"Medium","Low"))</f>
        <v>Low</v>
      </c>
    </row>
    <row r="35" spans="1:3">
      <c r="A35" t="str">
        <f>tbl_Data2[[#This Row],[Customer_ID]]</f>
        <v>CUST-034</v>
      </c>
      <c r="B35">
        <f>tbl_Data2[[#This Row],[Final_Risk_Score]]</f>
        <v>8.1</v>
      </c>
      <c r="C35" t="str">
        <f>IF(tbl_threshold[[#This Row],[Final_Risk_Score]]&gt;=$E$2,"High",
IF(tbl_threshold[[#This Row],[Final_Risk_Score]]&gt;=$E$3,"Medium","Low"))</f>
        <v>High</v>
      </c>
    </row>
    <row r="36" spans="1:3">
      <c r="A36" t="str">
        <f>tbl_Data2[[#This Row],[Customer_ID]]</f>
        <v>CUST-035</v>
      </c>
      <c r="B36">
        <f>tbl_Data2[[#This Row],[Final_Risk_Score]]</f>
        <v>5.3</v>
      </c>
      <c r="C36" t="str">
        <f>IF(tbl_threshold[[#This Row],[Final_Risk_Score]]&gt;=$E$2,"High",
IF(tbl_threshold[[#This Row],[Final_Risk_Score]]&gt;=$E$3,"Medium","Low"))</f>
        <v>Low</v>
      </c>
    </row>
    <row r="37" spans="1:3">
      <c r="A37" t="str">
        <f>tbl_Data2[[#This Row],[Customer_ID]]</f>
        <v>CUST-036</v>
      </c>
      <c r="B37">
        <f>tbl_Data2[[#This Row],[Final_Risk_Score]]</f>
        <v>7.1</v>
      </c>
      <c r="C37" t="str">
        <f>IF(tbl_threshold[[#This Row],[Final_Risk_Score]]&gt;=$E$2,"High",
IF(tbl_threshold[[#This Row],[Final_Risk_Score]]&gt;=$E$3,"Medium","Low"))</f>
        <v>Medium</v>
      </c>
    </row>
    <row r="38" spans="1:3">
      <c r="A38" t="str">
        <f>tbl_Data2[[#This Row],[Customer_ID]]</f>
        <v>CUST-037</v>
      </c>
      <c r="B38">
        <f>tbl_Data2[[#This Row],[Final_Risk_Score]]</f>
        <v>7.5</v>
      </c>
      <c r="C38" t="str">
        <f>IF(tbl_threshold[[#This Row],[Final_Risk_Score]]&gt;=$E$2,"High",
IF(tbl_threshold[[#This Row],[Final_Risk_Score]]&gt;=$E$3,"Medium","Low"))</f>
        <v>High</v>
      </c>
    </row>
    <row r="39" spans="1:3">
      <c r="A39" t="str">
        <f>tbl_Data2[[#This Row],[Customer_ID]]</f>
        <v>CUST-038</v>
      </c>
      <c r="B39">
        <f>tbl_Data2[[#This Row],[Final_Risk_Score]]</f>
        <v>4.2</v>
      </c>
      <c r="C39" t="str">
        <f>IF(tbl_threshold[[#This Row],[Final_Risk_Score]]&gt;=$E$2,"High",
IF(tbl_threshold[[#This Row],[Final_Risk_Score]]&gt;=$E$3,"Medium","Low"))</f>
        <v>Low</v>
      </c>
    </row>
    <row r="40" spans="1:3">
      <c r="A40" t="str">
        <f>tbl_Data2[[#This Row],[Customer_ID]]</f>
        <v>CUST-039</v>
      </c>
      <c r="B40">
        <f>tbl_Data2[[#This Row],[Final_Risk_Score]]</f>
        <v>6</v>
      </c>
      <c r="C40" t="str">
        <f>IF(tbl_threshold[[#This Row],[Final_Risk_Score]]&gt;=$E$2,"High",
IF(tbl_threshold[[#This Row],[Final_Risk_Score]]&gt;=$E$3,"Medium","Low"))</f>
        <v>Medium</v>
      </c>
    </row>
    <row r="41" spans="1:3">
      <c r="A41" t="str">
        <f>tbl_Data2[[#This Row],[Customer_ID]]</f>
        <v>CUST-040</v>
      </c>
      <c r="B41">
        <f>tbl_Data2[[#This Row],[Final_Risk_Score]]</f>
        <v>7.2</v>
      </c>
      <c r="C41" t="str">
        <f>IF(tbl_threshold[[#This Row],[Final_Risk_Score]]&gt;=$E$2,"High",
IF(tbl_threshold[[#This Row],[Final_Risk_Score]]&gt;=$E$3,"Medium","Low"))</f>
        <v>Medium</v>
      </c>
    </row>
    <row r="42" spans="1:3">
      <c r="A42" t="str">
        <f>tbl_Data2[[#This Row],[Customer_ID]]</f>
        <v>CUST-041</v>
      </c>
      <c r="B42">
        <f>tbl_Data2[[#This Row],[Final_Risk_Score]]</f>
        <v>5.7</v>
      </c>
      <c r="C42" t="str">
        <f>IF(tbl_threshold[[#This Row],[Final_Risk_Score]]&gt;=$E$2,"High",
IF(tbl_threshold[[#This Row],[Final_Risk_Score]]&gt;=$E$3,"Medium","Low"))</f>
        <v>Medium</v>
      </c>
    </row>
    <row r="43" spans="1:3">
      <c r="A43" t="str">
        <f>tbl_Data2[[#This Row],[Customer_ID]]</f>
        <v>CUST-042</v>
      </c>
      <c r="B43">
        <f>tbl_Data2[[#This Row],[Final_Risk_Score]]</f>
        <v>6.7</v>
      </c>
      <c r="C43" t="str">
        <f>IF(tbl_threshold[[#This Row],[Final_Risk_Score]]&gt;=$E$2,"High",
IF(tbl_threshold[[#This Row],[Final_Risk_Score]]&gt;=$E$3,"Medium","Low"))</f>
        <v>Medium</v>
      </c>
    </row>
    <row r="44" spans="1:3">
      <c r="A44" t="str">
        <f>tbl_Data2[[#This Row],[Customer_ID]]</f>
        <v>CUST-043</v>
      </c>
      <c r="B44">
        <f>tbl_Data2[[#This Row],[Final_Risk_Score]]</f>
        <v>8.6999999999999993</v>
      </c>
      <c r="C44" t="str">
        <f>IF(tbl_threshold[[#This Row],[Final_Risk_Score]]&gt;=$E$2,"High",
IF(tbl_threshold[[#This Row],[Final_Risk_Score]]&gt;=$E$3,"Medium","Low"))</f>
        <v>High</v>
      </c>
    </row>
    <row r="45" spans="1:3">
      <c r="A45" t="str">
        <f>tbl_Data2[[#This Row],[Customer_ID]]</f>
        <v>CUST-044</v>
      </c>
      <c r="B45">
        <f>tbl_Data2[[#This Row],[Final_Risk_Score]]</f>
        <v>6.9</v>
      </c>
      <c r="C45" t="str">
        <f>IF(tbl_threshold[[#This Row],[Final_Risk_Score]]&gt;=$E$2,"High",
IF(tbl_threshold[[#This Row],[Final_Risk_Score]]&gt;=$E$3,"Medium","Low"))</f>
        <v>Medium</v>
      </c>
    </row>
    <row r="46" spans="1:3">
      <c r="A46" t="str">
        <f>tbl_Data2[[#This Row],[Customer_ID]]</f>
        <v>CUST-045</v>
      </c>
      <c r="B46">
        <f>tbl_Data2[[#This Row],[Final_Risk_Score]]</f>
        <v>5.5</v>
      </c>
      <c r="C46" t="str">
        <f>IF(tbl_threshold[[#This Row],[Final_Risk_Score]]&gt;=$E$2,"High",
IF(tbl_threshold[[#This Row],[Final_Risk_Score]]&gt;=$E$3,"Medium","Low"))</f>
        <v>Medium</v>
      </c>
    </row>
    <row r="47" spans="1:3">
      <c r="A47" t="str">
        <f>tbl_Data2[[#This Row],[Customer_ID]]</f>
        <v>CUST-046</v>
      </c>
      <c r="B47">
        <f>tbl_Data2[[#This Row],[Final_Risk_Score]]</f>
        <v>5.8</v>
      </c>
      <c r="C47" t="str">
        <f>IF(tbl_threshold[[#This Row],[Final_Risk_Score]]&gt;=$E$2,"High",
IF(tbl_threshold[[#This Row],[Final_Risk_Score]]&gt;=$E$3,"Medium","Low"))</f>
        <v>Medium</v>
      </c>
    </row>
    <row r="48" spans="1:3">
      <c r="A48" t="str">
        <f>tbl_Data2[[#This Row],[Customer_ID]]</f>
        <v>CUST-047</v>
      </c>
      <c r="B48">
        <f>tbl_Data2[[#This Row],[Final_Risk_Score]]</f>
        <v>8</v>
      </c>
      <c r="C48" t="str">
        <f>IF(tbl_threshold[[#This Row],[Final_Risk_Score]]&gt;=$E$2,"High",
IF(tbl_threshold[[#This Row],[Final_Risk_Score]]&gt;=$E$3,"Medium","Low"))</f>
        <v>High</v>
      </c>
    </row>
    <row r="49" spans="1:3">
      <c r="A49" t="str">
        <f>tbl_Data2[[#This Row],[Customer_ID]]</f>
        <v>CUST-048</v>
      </c>
      <c r="B49">
        <f>tbl_Data2[[#This Row],[Final_Risk_Score]]</f>
        <v>7.7</v>
      </c>
      <c r="C49" t="str">
        <f>IF(tbl_threshold[[#This Row],[Final_Risk_Score]]&gt;=$E$2,"High",
IF(tbl_threshold[[#This Row],[Final_Risk_Score]]&gt;=$E$3,"Medium","Low"))</f>
        <v>High</v>
      </c>
    </row>
    <row r="50" spans="1:3">
      <c r="A50" t="str">
        <f>tbl_Data2[[#This Row],[Customer_ID]]</f>
        <v>CUST-049</v>
      </c>
      <c r="B50">
        <f>tbl_Data2[[#This Row],[Final_Risk_Score]]</f>
        <v>5.8</v>
      </c>
      <c r="C50" t="str">
        <f>IF(tbl_threshold[[#This Row],[Final_Risk_Score]]&gt;=$E$2,"High",
IF(tbl_threshold[[#This Row],[Final_Risk_Score]]&gt;=$E$3,"Medium","Low"))</f>
        <v>Medium</v>
      </c>
    </row>
    <row r="51" spans="1:3">
      <c r="A51" t="str">
        <f>tbl_Data2[[#This Row],[Customer_ID]]</f>
        <v>CUST-050</v>
      </c>
      <c r="B51">
        <f>tbl_Data2[[#This Row],[Final_Risk_Score]]</f>
        <v>6.8</v>
      </c>
      <c r="C51" t="str">
        <f>IF(tbl_threshold[[#This Row],[Final_Risk_Score]]&gt;=$E$2,"High",
IF(tbl_threshold[[#This Row],[Final_Risk_Score]]&gt;=$E$3,"Medium","Low"))</f>
        <v>Medium</v>
      </c>
    </row>
    <row r="52" spans="1:3">
      <c r="A52" t="str">
        <f>tbl_Data2[[#This Row],[Customer_ID]]</f>
        <v>CUST-051</v>
      </c>
      <c r="B52">
        <f>tbl_Data2[[#This Row],[Final_Risk_Score]]</f>
        <v>4.5999999999999996</v>
      </c>
      <c r="C52" t="str">
        <f>IF(tbl_threshold[[#This Row],[Final_Risk_Score]]&gt;=$E$2,"High",
IF(tbl_threshold[[#This Row],[Final_Risk_Score]]&gt;=$E$3,"Medium","Low"))</f>
        <v>Low</v>
      </c>
    </row>
    <row r="53" spans="1:3">
      <c r="A53" t="str">
        <f>tbl_Data2[[#This Row],[Customer_ID]]</f>
        <v>CUST-052</v>
      </c>
      <c r="B53">
        <f>tbl_Data2[[#This Row],[Final_Risk_Score]]</f>
        <v>6.7</v>
      </c>
      <c r="C53" t="str">
        <f>IF(tbl_threshold[[#This Row],[Final_Risk_Score]]&gt;=$E$2,"High",
IF(tbl_threshold[[#This Row],[Final_Risk_Score]]&gt;=$E$3,"Medium","Low"))</f>
        <v>Medium</v>
      </c>
    </row>
    <row r="54" spans="1:3">
      <c r="A54" t="str">
        <f>tbl_Data2[[#This Row],[Customer_ID]]</f>
        <v>CUST-053</v>
      </c>
      <c r="B54">
        <f>tbl_Data2[[#This Row],[Final_Risk_Score]]</f>
        <v>7.2</v>
      </c>
      <c r="C54" t="str">
        <f>IF(tbl_threshold[[#This Row],[Final_Risk_Score]]&gt;=$E$2,"High",
IF(tbl_threshold[[#This Row],[Final_Risk_Score]]&gt;=$E$3,"Medium","Low"))</f>
        <v>Medium</v>
      </c>
    </row>
    <row r="55" spans="1:3">
      <c r="A55" t="str">
        <f>tbl_Data2[[#This Row],[Customer_ID]]</f>
        <v>CUST-054</v>
      </c>
      <c r="B55">
        <f>tbl_Data2[[#This Row],[Final_Risk_Score]]</f>
        <v>4.3</v>
      </c>
      <c r="C55" t="str">
        <f>IF(tbl_threshold[[#This Row],[Final_Risk_Score]]&gt;=$E$2,"High",
IF(tbl_threshold[[#This Row],[Final_Risk_Score]]&gt;=$E$3,"Medium","Low"))</f>
        <v>Low</v>
      </c>
    </row>
    <row r="56" spans="1:3">
      <c r="A56" t="str">
        <f>tbl_Data2[[#This Row],[Customer_ID]]</f>
        <v>CUST-055</v>
      </c>
      <c r="B56">
        <f>tbl_Data2[[#This Row],[Final_Risk_Score]]</f>
        <v>4.5</v>
      </c>
      <c r="C56" t="str">
        <f>IF(tbl_threshold[[#This Row],[Final_Risk_Score]]&gt;=$E$2,"High",
IF(tbl_threshold[[#This Row],[Final_Risk_Score]]&gt;=$E$3,"Medium","Low"))</f>
        <v>Low</v>
      </c>
    </row>
    <row r="57" spans="1:3">
      <c r="A57" t="str">
        <f>tbl_Data2[[#This Row],[Customer_ID]]</f>
        <v>CUST-056</v>
      </c>
      <c r="B57">
        <f>tbl_Data2[[#This Row],[Final_Risk_Score]]</f>
        <v>8.1</v>
      </c>
      <c r="C57" t="str">
        <f>IF(tbl_threshold[[#This Row],[Final_Risk_Score]]&gt;=$E$2,"High",
IF(tbl_threshold[[#This Row],[Final_Risk_Score]]&gt;=$E$3,"Medium","Low"))</f>
        <v>High</v>
      </c>
    </row>
    <row r="58" spans="1:3">
      <c r="A58" t="str">
        <f>tbl_Data2[[#This Row],[Customer_ID]]</f>
        <v>CUST-057</v>
      </c>
      <c r="B58">
        <f>tbl_Data2[[#This Row],[Final_Risk_Score]]</f>
        <v>3.8</v>
      </c>
      <c r="C58" t="str">
        <f>IF(tbl_threshold[[#This Row],[Final_Risk_Score]]&gt;=$E$2,"High",
IF(tbl_threshold[[#This Row],[Final_Risk_Score]]&gt;=$E$3,"Medium","Low"))</f>
        <v>Low</v>
      </c>
    </row>
    <row r="59" spans="1:3">
      <c r="A59" t="str">
        <f>tbl_Data2[[#This Row],[Customer_ID]]</f>
        <v>CUST-058</v>
      </c>
      <c r="B59">
        <f>tbl_Data2[[#This Row],[Final_Risk_Score]]</f>
        <v>7.7</v>
      </c>
      <c r="C59" t="str">
        <f>IF(tbl_threshold[[#This Row],[Final_Risk_Score]]&gt;=$E$2,"High",
IF(tbl_threshold[[#This Row],[Final_Risk_Score]]&gt;=$E$3,"Medium","Low"))</f>
        <v>High</v>
      </c>
    </row>
    <row r="60" spans="1:3">
      <c r="A60" t="str">
        <f>tbl_Data2[[#This Row],[Customer_ID]]</f>
        <v>CUST-059</v>
      </c>
      <c r="B60">
        <f>tbl_Data2[[#This Row],[Final_Risk_Score]]</f>
        <v>3.1</v>
      </c>
      <c r="C60" t="str">
        <f>IF(tbl_threshold[[#This Row],[Final_Risk_Score]]&gt;=$E$2,"High",
IF(tbl_threshold[[#This Row],[Final_Risk_Score]]&gt;=$E$3,"Medium","Low"))</f>
        <v>Low</v>
      </c>
    </row>
    <row r="61" spans="1:3">
      <c r="A61" t="str">
        <f>tbl_Data2[[#This Row],[Customer_ID]]</f>
        <v>CUST-060</v>
      </c>
      <c r="B61">
        <f>tbl_Data2[[#This Row],[Final_Risk_Score]]</f>
        <v>5.9</v>
      </c>
      <c r="C61" t="str">
        <f>IF(tbl_threshold[[#This Row],[Final_Risk_Score]]&gt;=$E$2,"High",
IF(tbl_threshold[[#This Row],[Final_Risk_Score]]&gt;=$E$3,"Medium","Low"))</f>
        <v>Medium</v>
      </c>
    </row>
    <row r="62" spans="1:3">
      <c r="A62" t="str">
        <f>tbl_Data2[[#This Row],[Customer_ID]]</f>
        <v>CUST-061</v>
      </c>
      <c r="B62">
        <f>tbl_Data2[[#This Row],[Final_Risk_Score]]</f>
        <v>5.4</v>
      </c>
      <c r="C62" t="str">
        <f>IF(tbl_threshold[[#This Row],[Final_Risk_Score]]&gt;=$E$2,"High",
IF(tbl_threshold[[#This Row],[Final_Risk_Score]]&gt;=$E$3,"Medium","Low"))</f>
        <v>Low</v>
      </c>
    </row>
    <row r="63" spans="1:3">
      <c r="A63" t="str">
        <f>tbl_Data2[[#This Row],[Customer_ID]]</f>
        <v>CUST-062</v>
      </c>
      <c r="B63">
        <f>tbl_Data2[[#This Row],[Final_Risk_Score]]</f>
        <v>7.5</v>
      </c>
      <c r="C63" t="str">
        <f>IF(tbl_threshold[[#This Row],[Final_Risk_Score]]&gt;=$E$2,"High",
IF(tbl_threshold[[#This Row],[Final_Risk_Score]]&gt;=$E$3,"Medium","Low"))</f>
        <v>High</v>
      </c>
    </row>
    <row r="64" spans="1:3">
      <c r="A64" t="str">
        <f>tbl_Data2[[#This Row],[Customer_ID]]</f>
        <v>CUST-063</v>
      </c>
      <c r="B64">
        <f>tbl_Data2[[#This Row],[Final_Risk_Score]]</f>
        <v>5</v>
      </c>
      <c r="C64" t="str">
        <f>IF(tbl_threshold[[#This Row],[Final_Risk_Score]]&gt;=$E$2,"High",
IF(tbl_threshold[[#This Row],[Final_Risk_Score]]&gt;=$E$3,"Medium","Low"))</f>
        <v>Low</v>
      </c>
    </row>
    <row r="65" spans="1:3">
      <c r="A65" t="str">
        <f>tbl_Data2[[#This Row],[Customer_ID]]</f>
        <v>CUST-064</v>
      </c>
      <c r="B65">
        <f>tbl_Data2[[#This Row],[Final_Risk_Score]]</f>
        <v>8.5</v>
      </c>
      <c r="C65" t="str">
        <f>IF(tbl_threshold[[#This Row],[Final_Risk_Score]]&gt;=$E$2,"High",
IF(tbl_threshold[[#This Row],[Final_Risk_Score]]&gt;=$E$3,"Medium","Low"))</f>
        <v>High</v>
      </c>
    </row>
    <row r="66" spans="1:3">
      <c r="A66" t="str">
        <f>tbl_Data2[[#This Row],[Customer_ID]]</f>
        <v>CUST-065</v>
      </c>
      <c r="B66">
        <f>tbl_Data2[[#This Row],[Final_Risk_Score]]</f>
        <v>7</v>
      </c>
      <c r="C66" t="str">
        <f>IF(tbl_threshold[[#This Row],[Final_Risk_Score]]&gt;=$E$2,"High",
IF(tbl_threshold[[#This Row],[Final_Risk_Score]]&gt;=$E$3,"Medium","Low"))</f>
        <v>Medium</v>
      </c>
    </row>
    <row r="67" spans="1:3">
      <c r="A67" t="str">
        <f>tbl_Data2[[#This Row],[Customer_ID]]</f>
        <v>CUST-066</v>
      </c>
      <c r="B67">
        <f>tbl_Data2[[#This Row],[Final_Risk_Score]]</f>
        <v>4.8</v>
      </c>
      <c r="C67" t="str">
        <f>IF(tbl_threshold[[#This Row],[Final_Risk_Score]]&gt;=$E$2,"High",
IF(tbl_threshold[[#This Row],[Final_Risk_Score]]&gt;=$E$3,"Medium","Low"))</f>
        <v>Low</v>
      </c>
    </row>
    <row r="68" spans="1:3">
      <c r="A68" t="str">
        <f>tbl_Data2[[#This Row],[Customer_ID]]</f>
        <v>CUST-067</v>
      </c>
      <c r="B68">
        <f>tbl_Data2[[#This Row],[Final_Risk_Score]]</f>
        <v>6.5</v>
      </c>
      <c r="C68" t="str">
        <f>IF(tbl_threshold[[#This Row],[Final_Risk_Score]]&gt;=$E$2,"High",
IF(tbl_threshold[[#This Row],[Final_Risk_Score]]&gt;=$E$3,"Medium","Low"))</f>
        <v>Medium</v>
      </c>
    </row>
    <row r="69" spans="1:3">
      <c r="A69" t="str">
        <f>tbl_Data2[[#This Row],[Customer_ID]]</f>
        <v>CUST-068</v>
      </c>
      <c r="B69">
        <f>tbl_Data2[[#This Row],[Final_Risk_Score]]</f>
        <v>7.5</v>
      </c>
      <c r="C69" t="str">
        <f>IF(tbl_threshold[[#This Row],[Final_Risk_Score]]&gt;=$E$2,"High",
IF(tbl_threshold[[#This Row],[Final_Risk_Score]]&gt;=$E$3,"Medium","Low"))</f>
        <v>High</v>
      </c>
    </row>
    <row r="70" spans="1:3">
      <c r="A70" t="str">
        <f>tbl_Data2[[#This Row],[Customer_ID]]</f>
        <v>CUST-069</v>
      </c>
      <c r="B70">
        <f>tbl_Data2[[#This Row],[Final_Risk_Score]]</f>
        <v>5.8</v>
      </c>
      <c r="C70" t="str">
        <f>IF(tbl_threshold[[#This Row],[Final_Risk_Score]]&gt;=$E$2,"High",
IF(tbl_threshold[[#This Row],[Final_Risk_Score]]&gt;=$E$3,"Medium","Low"))</f>
        <v>Medium</v>
      </c>
    </row>
    <row r="71" spans="1:3">
      <c r="A71" t="str">
        <f>tbl_Data2[[#This Row],[Customer_ID]]</f>
        <v>CUST-070</v>
      </c>
      <c r="B71">
        <f>tbl_Data2[[#This Row],[Final_Risk_Score]]</f>
        <v>5.7</v>
      </c>
      <c r="C71" t="str">
        <f>IF(tbl_threshold[[#This Row],[Final_Risk_Score]]&gt;=$E$2,"High",
IF(tbl_threshold[[#This Row],[Final_Risk_Score]]&gt;=$E$3,"Medium","Low"))</f>
        <v>Medium</v>
      </c>
    </row>
    <row r="72" spans="1:3">
      <c r="A72" t="str">
        <f>tbl_Data2[[#This Row],[Customer_ID]]</f>
        <v>CUST-071</v>
      </c>
      <c r="B72">
        <f>tbl_Data2[[#This Row],[Final_Risk_Score]]</f>
        <v>5.7</v>
      </c>
      <c r="C72" t="str">
        <f>IF(tbl_threshold[[#This Row],[Final_Risk_Score]]&gt;=$E$2,"High",
IF(tbl_threshold[[#This Row],[Final_Risk_Score]]&gt;=$E$3,"Medium","Low"))</f>
        <v>Medium</v>
      </c>
    </row>
    <row r="73" spans="1:3">
      <c r="A73" t="str">
        <f>tbl_Data2[[#This Row],[Customer_ID]]</f>
        <v>CUST-072</v>
      </c>
      <c r="B73">
        <f>tbl_Data2[[#This Row],[Final_Risk_Score]]</f>
        <v>5.9</v>
      </c>
      <c r="C73" t="str">
        <f>IF(tbl_threshold[[#This Row],[Final_Risk_Score]]&gt;=$E$2,"High",
IF(tbl_threshold[[#This Row],[Final_Risk_Score]]&gt;=$E$3,"Medium","Low"))</f>
        <v>Medium</v>
      </c>
    </row>
    <row r="74" spans="1:3">
      <c r="A74" t="str">
        <f>tbl_Data2[[#This Row],[Customer_ID]]</f>
        <v>CUST-073</v>
      </c>
      <c r="B74">
        <f>tbl_Data2[[#This Row],[Final_Risk_Score]]</f>
        <v>8.1</v>
      </c>
      <c r="C74" t="str">
        <f>IF(tbl_threshold[[#This Row],[Final_Risk_Score]]&gt;=$E$2,"High",
IF(tbl_threshold[[#This Row],[Final_Risk_Score]]&gt;=$E$3,"Medium","Low"))</f>
        <v>High</v>
      </c>
    </row>
    <row r="75" spans="1:3">
      <c r="A75" t="str">
        <f>tbl_Data2[[#This Row],[Customer_ID]]</f>
        <v>CUST-074</v>
      </c>
      <c r="B75">
        <f>tbl_Data2[[#This Row],[Final_Risk_Score]]</f>
        <v>6.3</v>
      </c>
      <c r="C75" t="str">
        <f>IF(tbl_threshold[[#This Row],[Final_Risk_Score]]&gt;=$E$2,"High",
IF(tbl_threshold[[#This Row],[Final_Risk_Score]]&gt;=$E$3,"Medium","Low"))</f>
        <v>Medium</v>
      </c>
    </row>
    <row r="76" spans="1:3">
      <c r="A76" t="str">
        <f>tbl_Data2[[#This Row],[Customer_ID]]</f>
        <v>CUST-075</v>
      </c>
      <c r="B76">
        <f>tbl_Data2[[#This Row],[Final_Risk_Score]]</f>
        <v>6.5</v>
      </c>
      <c r="C76" t="str">
        <f>IF(tbl_threshold[[#This Row],[Final_Risk_Score]]&gt;=$E$2,"High",
IF(tbl_threshold[[#This Row],[Final_Risk_Score]]&gt;=$E$3,"Medium","Low"))</f>
        <v>Medium</v>
      </c>
    </row>
    <row r="77" spans="1:3">
      <c r="A77" t="str">
        <f>tbl_Data2[[#This Row],[Customer_ID]]</f>
        <v>CUST-076</v>
      </c>
      <c r="B77">
        <f>tbl_Data2[[#This Row],[Final_Risk_Score]]</f>
        <v>6.2</v>
      </c>
      <c r="C77" t="str">
        <f>IF(tbl_threshold[[#This Row],[Final_Risk_Score]]&gt;=$E$2,"High",
IF(tbl_threshold[[#This Row],[Final_Risk_Score]]&gt;=$E$3,"Medium","Low"))</f>
        <v>Medium</v>
      </c>
    </row>
    <row r="78" spans="1:3">
      <c r="A78" t="str">
        <f>tbl_Data2[[#This Row],[Customer_ID]]</f>
        <v>CUST-077</v>
      </c>
      <c r="B78">
        <f>tbl_Data2[[#This Row],[Final_Risk_Score]]</f>
        <v>7.2</v>
      </c>
      <c r="C78" t="str">
        <f>IF(tbl_threshold[[#This Row],[Final_Risk_Score]]&gt;=$E$2,"High",
IF(tbl_threshold[[#This Row],[Final_Risk_Score]]&gt;=$E$3,"Medium","Low"))</f>
        <v>Medium</v>
      </c>
    </row>
    <row r="79" spans="1:3">
      <c r="A79" t="str">
        <f>tbl_Data2[[#This Row],[Customer_ID]]</f>
        <v>CUST-078</v>
      </c>
      <c r="B79">
        <f>tbl_Data2[[#This Row],[Final_Risk_Score]]</f>
        <v>6.2</v>
      </c>
      <c r="C79" t="str">
        <f>IF(tbl_threshold[[#This Row],[Final_Risk_Score]]&gt;=$E$2,"High",
IF(tbl_threshold[[#This Row],[Final_Risk_Score]]&gt;=$E$3,"Medium","Low"))</f>
        <v>Medium</v>
      </c>
    </row>
    <row r="80" spans="1:3">
      <c r="A80" t="str">
        <f>tbl_Data2[[#This Row],[Customer_ID]]</f>
        <v>CUST-079</v>
      </c>
      <c r="B80">
        <f>tbl_Data2[[#This Row],[Final_Risk_Score]]</f>
        <v>7.5</v>
      </c>
      <c r="C80" t="str">
        <f>IF(tbl_threshold[[#This Row],[Final_Risk_Score]]&gt;=$E$2,"High",
IF(tbl_threshold[[#This Row],[Final_Risk_Score]]&gt;=$E$3,"Medium","Low"))</f>
        <v>High</v>
      </c>
    </row>
    <row r="81" spans="1:3">
      <c r="A81" t="str">
        <f>tbl_Data2[[#This Row],[Customer_ID]]</f>
        <v>CUST-080</v>
      </c>
      <c r="B81">
        <f>tbl_Data2[[#This Row],[Final_Risk_Score]]</f>
        <v>7.5</v>
      </c>
      <c r="C81" t="str">
        <f>IF(tbl_threshold[[#This Row],[Final_Risk_Score]]&gt;=$E$2,"High",
IF(tbl_threshold[[#This Row],[Final_Risk_Score]]&gt;=$E$3,"Medium","Low"))</f>
        <v>High</v>
      </c>
    </row>
    <row r="82" spans="1:3">
      <c r="A82" t="str">
        <f>tbl_Data2[[#This Row],[Customer_ID]]</f>
        <v>CUST-081</v>
      </c>
      <c r="B82">
        <f>tbl_Data2[[#This Row],[Final_Risk_Score]]</f>
        <v>8.1</v>
      </c>
      <c r="C82" t="str">
        <f>IF(tbl_threshold[[#This Row],[Final_Risk_Score]]&gt;=$E$2,"High",
IF(tbl_threshold[[#This Row],[Final_Risk_Score]]&gt;=$E$3,"Medium","Low"))</f>
        <v>High</v>
      </c>
    </row>
    <row r="83" spans="1:3">
      <c r="A83" t="str">
        <f>tbl_Data2[[#This Row],[Customer_ID]]</f>
        <v>CUST-082</v>
      </c>
      <c r="B83">
        <f>tbl_Data2[[#This Row],[Final_Risk_Score]]</f>
        <v>5.7</v>
      </c>
      <c r="C83" t="str">
        <f>IF(tbl_threshold[[#This Row],[Final_Risk_Score]]&gt;=$E$2,"High",
IF(tbl_threshold[[#This Row],[Final_Risk_Score]]&gt;=$E$3,"Medium","Low"))</f>
        <v>Medium</v>
      </c>
    </row>
    <row r="84" spans="1:3">
      <c r="A84" t="str">
        <f>tbl_Data2[[#This Row],[Customer_ID]]</f>
        <v>CUST-083</v>
      </c>
      <c r="B84">
        <f>tbl_Data2[[#This Row],[Final_Risk_Score]]</f>
        <v>7.9</v>
      </c>
      <c r="C84" t="str">
        <f>IF(tbl_threshold[[#This Row],[Final_Risk_Score]]&gt;=$E$2,"High",
IF(tbl_threshold[[#This Row],[Final_Risk_Score]]&gt;=$E$3,"Medium","Low"))</f>
        <v>High</v>
      </c>
    </row>
    <row r="85" spans="1:3">
      <c r="A85" t="str">
        <f>tbl_Data2[[#This Row],[Customer_ID]]</f>
        <v>CUST-084</v>
      </c>
      <c r="B85">
        <f>tbl_Data2[[#This Row],[Final_Risk_Score]]</f>
        <v>5.9</v>
      </c>
      <c r="C85" t="str">
        <f>IF(tbl_threshold[[#This Row],[Final_Risk_Score]]&gt;=$E$2,"High",
IF(tbl_threshold[[#This Row],[Final_Risk_Score]]&gt;=$E$3,"Medium","Low"))</f>
        <v>Medium</v>
      </c>
    </row>
    <row r="86" spans="1:3">
      <c r="A86" t="str">
        <f>tbl_Data2[[#This Row],[Customer_ID]]</f>
        <v>CUST-085</v>
      </c>
      <c r="B86">
        <f>tbl_Data2[[#This Row],[Final_Risk_Score]]</f>
        <v>6</v>
      </c>
      <c r="C86" t="str">
        <f>IF(tbl_threshold[[#This Row],[Final_Risk_Score]]&gt;=$E$2,"High",
IF(tbl_threshold[[#This Row],[Final_Risk_Score]]&gt;=$E$3,"Medium","Low"))</f>
        <v>Medium</v>
      </c>
    </row>
    <row r="87" spans="1:3">
      <c r="A87" t="str">
        <f>tbl_Data2[[#This Row],[Customer_ID]]</f>
        <v>CUST-086</v>
      </c>
      <c r="B87">
        <f>tbl_Data2[[#This Row],[Final_Risk_Score]]</f>
        <v>6</v>
      </c>
      <c r="C87" t="str">
        <f>IF(tbl_threshold[[#This Row],[Final_Risk_Score]]&gt;=$E$2,"High",
IF(tbl_threshold[[#This Row],[Final_Risk_Score]]&gt;=$E$3,"Medium","Low"))</f>
        <v>Medium</v>
      </c>
    </row>
    <row r="88" spans="1:3">
      <c r="A88" t="str">
        <f>tbl_Data2[[#This Row],[Customer_ID]]</f>
        <v>CUST-087</v>
      </c>
      <c r="B88">
        <f>tbl_Data2[[#This Row],[Final_Risk_Score]]</f>
        <v>8.1</v>
      </c>
      <c r="C88" t="str">
        <f>IF(tbl_threshold[[#This Row],[Final_Risk_Score]]&gt;=$E$2,"High",
IF(tbl_threshold[[#This Row],[Final_Risk_Score]]&gt;=$E$3,"Medium","Low"))</f>
        <v>High</v>
      </c>
    </row>
    <row r="89" spans="1:3">
      <c r="A89" t="str">
        <f>tbl_Data2[[#This Row],[Customer_ID]]</f>
        <v>CUST-088</v>
      </c>
      <c r="B89">
        <f>tbl_Data2[[#This Row],[Final_Risk_Score]]</f>
        <v>5.8</v>
      </c>
      <c r="C89" t="str">
        <f>IF(tbl_threshold[[#This Row],[Final_Risk_Score]]&gt;=$E$2,"High",
IF(tbl_threshold[[#This Row],[Final_Risk_Score]]&gt;=$E$3,"Medium","Low"))</f>
        <v>Medium</v>
      </c>
    </row>
    <row r="90" spans="1:3">
      <c r="A90" t="str">
        <f>tbl_Data2[[#This Row],[Customer_ID]]</f>
        <v>CUST-089</v>
      </c>
      <c r="B90">
        <f>tbl_Data2[[#This Row],[Final_Risk_Score]]</f>
        <v>3.1</v>
      </c>
      <c r="C90" t="str">
        <f>IF(tbl_threshold[[#This Row],[Final_Risk_Score]]&gt;=$E$2,"High",
IF(tbl_threshold[[#This Row],[Final_Risk_Score]]&gt;=$E$3,"Medium","Low"))</f>
        <v>Low</v>
      </c>
    </row>
    <row r="91" spans="1:3">
      <c r="A91" t="str">
        <f>tbl_Data2[[#This Row],[Customer_ID]]</f>
        <v>CUST-090</v>
      </c>
      <c r="B91">
        <f>tbl_Data2[[#This Row],[Final_Risk_Score]]</f>
        <v>5.7</v>
      </c>
      <c r="C91" t="str">
        <f>IF(tbl_threshold[[#This Row],[Final_Risk_Score]]&gt;=$E$2,"High",
IF(tbl_threshold[[#This Row],[Final_Risk_Score]]&gt;=$E$3,"Medium","Low"))</f>
        <v>Medium</v>
      </c>
    </row>
    <row r="92" spans="1:3">
      <c r="A92" t="str">
        <f>tbl_Data2[[#This Row],[Customer_ID]]</f>
        <v>CUST-091</v>
      </c>
      <c r="B92">
        <f>tbl_Data2[[#This Row],[Final_Risk_Score]]</f>
        <v>7.5</v>
      </c>
      <c r="C92" t="str">
        <f>IF(tbl_threshold[[#This Row],[Final_Risk_Score]]&gt;=$E$2,"High",
IF(tbl_threshold[[#This Row],[Final_Risk_Score]]&gt;=$E$3,"Medium","Low"))</f>
        <v>High</v>
      </c>
    </row>
    <row r="93" spans="1:3">
      <c r="A93" t="str">
        <f>tbl_Data2[[#This Row],[Customer_ID]]</f>
        <v>CUST-092</v>
      </c>
      <c r="B93">
        <f>tbl_Data2[[#This Row],[Final_Risk_Score]]</f>
        <v>8.1999999999999993</v>
      </c>
      <c r="C93" t="str">
        <f>IF(tbl_threshold[[#This Row],[Final_Risk_Score]]&gt;=$E$2,"High",
IF(tbl_threshold[[#This Row],[Final_Risk_Score]]&gt;=$E$3,"Medium","Low"))</f>
        <v>High</v>
      </c>
    </row>
    <row r="94" spans="1:3">
      <c r="A94" t="str">
        <f>tbl_Data2[[#This Row],[Customer_ID]]</f>
        <v>CUST-093</v>
      </c>
      <c r="B94">
        <f>tbl_Data2[[#This Row],[Final_Risk_Score]]</f>
        <v>5.8</v>
      </c>
      <c r="C94" t="str">
        <f>IF(tbl_threshold[[#This Row],[Final_Risk_Score]]&gt;=$E$2,"High",
IF(tbl_threshold[[#This Row],[Final_Risk_Score]]&gt;=$E$3,"Medium","Low"))</f>
        <v>Medium</v>
      </c>
    </row>
    <row r="95" spans="1:3">
      <c r="A95" t="str">
        <f>tbl_Data2[[#This Row],[Customer_ID]]</f>
        <v>CUST-094</v>
      </c>
      <c r="B95">
        <f>tbl_Data2[[#This Row],[Final_Risk_Score]]</f>
        <v>6.2</v>
      </c>
      <c r="C95" t="str">
        <f>IF(tbl_threshold[[#This Row],[Final_Risk_Score]]&gt;=$E$2,"High",
IF(tbl_threshold[[#This Row],[Final_Risk_Score]]&gt;=$E$3,"Medium","Low"))</f>
        <v>Medium</v>
      </c>
    </row>
    <row r="96" spans="1:3">
      <c r="A96" t="str">
        <f>tbl_Data2[[#This Row],[Customer_ID]]</f>
        <v>CUST-095</v>
      </c>
      <c r="B96">
        <f>tbl_Data2[[#This Row],[Final_Risk_Score]]</f>
        <v>5.9</v>
      </c>
      <c r="C96" t="str">
        <f>IF(tbl_threshold[[#This Row],[Final_Risk_Score]]&gt;=$E$2,"High",
IF(tbl_threshold[[#This Row],[Final_Risk_Score]]&gt;=$E$3,"Medium","Low"))</f>
        <v>Medium</v>
      </c>
    </row>
    <row r="97" spans="1:3">
      <c r="A97" t="str">
        <f>tbl_Data2[[#This Row],[Customer_ID]]</f>
        <v>CUST-096</v>
      </c>
      <c r="B97">
        <f>tbl_Data2[[#This Row],[Final_Risk_Score]]</f>
        <v>7</v>
      </c>
      <c r="C97" t="str">
        <f>IF(tbl_threshold[[#This Row],[Final_Risk_Score]]&gt;=$E$2,"High",
IF(tbl_threshold[[#This Row],[Final_Risk_Score]]&gt;=$E$3,"Medium","Low"))</f>
        <v>Medium</v>
      </c>
    </row>
    <row r="98" spans="1:3">
      <c r="A98" t="str">
        <f>tbl_Data2[[#This Row],[Customer_ID]]</f>
        <v>CUST-097</v>
      </c>
      <c r="B98">
        <f>tbl_Data2[[#This Row],[Final_Risk_Score]]</f>
        <v>7.1</v>
      </c>
      <c r="C98" t="str">
        <f>IF(tbl_threshold[[#This Row],[Final_Risk_Score]]&gt;=$E$2,"High",
IF(tbl_threshold[[#This Row],[Final_Risk_Score]]&gt;=$E$3,"Medium","Low"))</f>
        <v>Medium</v>
      </c>
    </row>
    <row r="99" spans="1:3">
      <c r="A99" t="str">
        <f>tbl_Data2[[#This Row],[Customer_ID]]</f>
        <v>CUST-098</v>
      </c>
      <c r="B99">
        <f>tbl_Data2[[#This Row],[Final_Risk_Score]]</f>
        <v>4.3</v>
      </c>
      <c r="C99" t="str">
        <f>IF(tbl_threshold[[#This Row],[Final_Risk_Score]]&gt;=$E$2,"High",
IF(tbl_threshold[[#This Row],[Final_Risk_Score]]&gt;=$E$3,"Medium","Low"))</f>
        <v>Low</v>
      </c>
    </row>
    <row r="100" spans="1:3">
      <c r="A100" t="str">
        <f>tbl_Data2[[#This Row],[Customer_ID]]</f>
        <v>CUST-099</v>
      </c>
      <c r="B100">
        <f>tbl_Data2[[#This Row],[Final_Risk_Score]]</f>
        <v>7</v>
      </c>
      <c r="C100" t="str">
        <f>IF(tbl_threshold[[#This Row],[Final_Risk_Score]]&gt;=$E$2,"High",
IF(tbl_threshold[[#This Row],[Final_Risk_Score]]&gt;=$E$3,"Medium","Low"))</f>
        <v>Medium</v>
      </c>
    </row>
    <row r="101" spans="1:3">
      <c r="A101" t="str">
        <f>tbl_Data2[[#This Row],[Customer_ID]]</f>
        <v>CUST-100</v>
      </c>
      <c r="B101">
        <f>tbl_Data2[[#This Row],[Final_Risk_Score]]</f>
        <v>5.5</v>
      </c>
      <c r="C101" t="str">
        <f>IF(tbl_threshold[[#This Row],[Final_Risk_Score]]&gt;=$E$2,"High",
IF(tbl_threshold[[#This Row],[Final_Risk_Score]]&gt;=$E$3,"Medium","Low"))</f>
        <v>Medium</v>
      </c>
    </row>
    <row r="102" spans="1:3">
      <c r="A102" t="str">
        <f>tbl_Data2[[#This Row],[Customer_ID]]</f>
        <v>CUST-101</v>
      </c>
      <c r="B102">
        <f>tbl_Data2[[#This Row],[Final_Risk_Score]]</f>
        <v>9.3000000000000007</v>
      </c>
      <c r="C102" t="str">
        <f>IF(tbl_threshold[[#This Row],[Final_Risk_Score]]&gt;=$E$2,"High",
IF(tbl_threshold[[#This Row],[Final_Risk_Score]]&gt;=$E$3,"Medium","Low"))</f>
        <v>High</v>
      </c>
    </row>
    <row r="103" spans="1:3">
      <c r="A103" t="str">
        <f>tbl_Data2[[#This Row],[Customer_ID]]</f>
        <v>CUST-102</v>
      </c>
      <c r="B103">
        <f>tbl_Data2[[#This Row],[Final_Risk_Score]]</f>
        <v>6.9</v>
      </c>
      <c r="C103" t="str">
        <f>IF(tbl_threshold[[#This Row],[Final_Risk_Score]]&gt;=$E$2,"High",
IF(tbl_threshold[[#This Row],[Final_Risk_Score]]&gt;=$E$3,"Medium","Low"))</f>
        <v>Medium</v>
      </c>
    </row>
    <row r="104" spans="1:3">
      <c r="A104" t="str">
        <f>tbl_Data2[[#This Row],[Customer_ID]]</f>
        <v>CUST-103</v>
      </c>
      <c r="B104">
        <f>tbl_Data2[[#This Row],[Final_Risk_Score]]</f>
        <v>7</v>
      </c>
      <c r="C104" t="str">
        <f>IF(tbl_threshold[[#This Row],[Final_Risk_Score]]&gt;=$E$2,"High",
IF(tbl_threshold[[#This Row],[Final_Risk_Score]]&gt;=$E$3,"Medium","Low"))</f>
        <v>Medium</v>
      </c>
    </row>
    <row r="105" spans="1:3">
      <c r="A105" t="str">
        <f>tbl_Data2[[#This Row],[Customer_ID]]</f>
        <v>CUST-104</v>
      </c>
      <c r="B105">
        <f>tbl_Data2[[#This Row],[Final_Risk_Score]]</f>
        <v>8.8000000000000007</v>
      </c>
      <c r="C105" t="str">
        <f>IF(tbl_threshold[[#This Row],[Final_Risk_Score]]&gt;=$E$2,"High",
IF(tbl_threshold[[#This Row],[Final_Risk_Score]]&gt;=$E$3,"Medium","Low"))</f>
        <v>High</v>
      </c>
    </row>
    <row r="106" spans="1:3">
      <c r="A106" t="str">
        <f>tbl_Data2[[#This Row],[Customer_ID]]</f>
        <v>CUST-105</v>
      </c>
      <c r="B106">
        <f>tbl_Data2[[#This Row],[Final_Risk_Score]]</f>
        <v>4.3</v>
      </c>
      <c r="C106" t="str">
        <f>IF(tbl_threshold[[#This Row],[Final_Risk_Score]]&gt;=$E$2,"High",
IF(tbl_threshold[[#This Row],[Final_Risk_Score]]&gt;=$E$3,"Medium","Low"))</f>
        <v>Low</v>
      </c>
    </row>
    <row r="107" spans="1:3">
      <c r="A107" t="str">
        <f>tbl_Data2[[#This Row],[Customer_ID]]</f>
        <v>CUST-106</v>
      </c>
      <c r="B107">
        <f>tbl_Data2[[#This Row],[Final_Risk_Score]]</f>
        <v>6.4</v>
      </c>
      <c r="C107" t="str">
        <f>IF(tbl_threshold[[#This Row],[Final_Risk_Score]]&gt;=$E$2,"High",
IF(tbl_threshold[[#This Row],[Final_Risk_Score]]&gt;=$E$3,"Medium","Low"))</f>
        <v>Medium</v>
      </c>
    </row>
    <row r="108" spans="1:3">
      <c r="A108" t="str">
        <f>tbl_Data2[[#This Row],[Customer_ID]]</f>
        <v>CUST-107</v>
      </c>
      <c r="B108">
        <f>tbl_Data2[[#This Row],[Final_Risk_Score]]</f>
        <v>5.9</v>
      </c>
      <c r="C108" t="str">
        <f>IF(tbl_threshold[[#This Row],[Final_Risk_Score]]&gt;=$E$2,"High",
IF(tbl_threshold[[#This Row],[Final_Risk_Score]]&gt;=$E$3,"Medium","Low"))</f>
        <v>Medium</v>
      </c>
    </row>
    <row r="109" spans="1:3">
      <c r="A109" t="str">
        <f>tbl_Data2[[#This Row],[Customer_ID]]</f>
        <v>CUST-108</v>
      </c>
      <c r="B109">
        <f>tbl_Data2[[#This Row],[Final_Risk_Score]]</f>
        <v>8.1999999999999993</v>
      </c>
      <c r="C109" t="str">
        <f>IF(tbl_threshold[[#This Row],[Final_Risk_Score]]&gt;=$E$2,"High",
IF(tbl_threshold[[#This Row],[Final_Risk_Score]]&gt;=$E$3,"Medium","Low"))</f>
        <v>High</v>
      </c>
    </row>
    <row r="110" spans="1:3">
      <c r="A110" t="str">
        <f>tbl_Data2[[#This Row],[Customer_ID]]</f>
        <v>CUST-109</v>
      </c>
      <c r="B110">
        <f>tbl_Data2[[#This Row],[Final_Risk_Score]]</f>
        <v>6.4</v>
      </c>
      <c r="C110" t="str">
        <f>IF(tbl_threshold[[#This Row],[Final_Risk_Score]]&gt;=$E$2,"High",
IF(tbl_threshold[[#This Row],[Final_Risk_Score]]&gt;=$E$3,"Medium","Low"))</f>
        <v>Medium</v>
      </c>
    </row>
    <row r="111" spans="1:3">
      <c r="A111" t="str">
        <f>tbl_Data2[[#This Row],[Customer_ID]]</f>
        <v>CUST-110</v>
      </c>
      <c r="B111">
        <f>tbl_Data2[[#This Row],[Final_Risk_Score]]</f>
        <v>5.4</v>
      </c>
      <c r="C111" t="str">
        <f>IF(tbl_threshold[[#This Row],[Final_Risk_Score]]&gt;=$E$2,"High",
IF(tbl_threshold[[#This Row],[Final_Risk_Score]]&gt;=$E$3,"Medium","Low"))</f>
        <v>Low</v>
      </c>
    </row>
    <row r="112" spans="1:3">
      <c r="A112" t="str">
        <f>tbl_Data2[[#This Row],[Customer_ID]]</f>
        <v>CUST-111</v>
      </c>
      <c r="B112">
        <f>tbl_Data2[[#This Row],[Final_Risk_Score]]</f>
        <v>9.3000000000000007</v>
      </c>
      <c r="C112" t="str">
        <f>IF(tbl_threshold[[#This Row],[Final_Risk_Score]]&gt;=$E$2,"High",
IF(tbl_threshold[[#This Row],[Final_Risk_Score]]&gt;=$E$3,"Medium","Low"))</f>
        <v>High</v>
      </c>
    </row>
    <row r="113" spans="1:3">
      <c r="A113" t="str">
        <f>tbl_Data2[[#This Row],[Customer_ID]]</f>
        <v>CUST-112</v>
      </c>
      <c r="B113">
        <f>tbl_Data2[[#This Row],[Final_Risk_Score]]</f>
        <v>4.3</v>
      </c>
      <c r="C113" t="str">
        <f>IF(tbl_threshold[[#This Row],[Final_Risk_Score]]&gt;=$E$2,"High",
IF(tbl_threshold[[#This Row],[Final_Risk_Score]]&gt;=$E$3,"Medium","Low"))</f>
        <v>Low</v>
      </c>
    </row>
    <row r="114" spans="1:3">
      <c r="A114" t="str">
        <f>tbl_Data2[[#This Row],[Customer_ID]]</f>
        <v>CUST-113</v>
      </c>
      <c r="B114">
        <f>tbl_Data2[[#This Row],[Final_Risk_Score]]</f>
        <v>6.2</v>
      </c>
      <c r="C114" t="str">
        <f>IF(tbl_threshold[[#This Row],[Final_Risk_Score]]&gt;=$E$2,"High",
IF(tbl_threshold[[#This Row],[Final_Risk_Score]]&gt;=$E$3,"Medium","Low"))</f>
        <v>Medium</v>
      </c>
    </row>
    <row r="115" spans="1:3">
      <c r="A115" t="str">
        <f>tbl_Data2[[#This Row],[Customer_ID]]</f>
        <v>CUST-114</v>
      </c>
      <c r="B115">
        <f>tbl_Data2[[#This Row],[Final_Risk_Score]]</f>
        <v>6.1</v>
      </c>
      <c r="C115" t="str">
        <f>IF(tbl_threshold[[#This Row],[Final_Risk_Score]]&gt;=$E$2,"High",
IF(tbl_threshold[[#This Row],[Final_Risk_Score]]&gt;=$E$3,"Medium","Low"))</f>
        <v>Medium</v>
      </c>
    </row>
    <row r="116" spans="1:3">
      <c r="A116" t="str">
        <f>tbl_Data2[[#This Row],[Customer_ID]]</f>
        <v>CUST-115</v>
      </c>
      <c r="B116">
        <f>tbl_Data2[[#This Row],[Final_Risk_Score]]</f>
        <v>8</v>
      </c>
      <c r="C116" t="str">
        <f>IF(tbl_threshold[[#This Row],[Final_Risk_Score]]&gt;=$E$2,"High",
IF(tbl_threshold[[#This Row],[Final_Risk_Score]]&gt;=$E$3,"Medium","Low"))</f>
        <v>High</v>
      </c>
    </row>
    <row r="117" spans="1:3">
      <c r="A117" t="str">
        <f>tbl_Data2[[#This Row],[Customer_ID]]</f>
        <v>CUST-116</v>
      </c>
      <c r="B117">
        <f>tbl_Data2[[#This Row],[Final_Risk_Score]]</f>
        <v>8.6999999999999993</v>
      </c>
      <c r="C117" t="str">
        <f>IF(tbl_threshold[[#This Row],[Final_Risk_Score]]&gt;=$E$2,"High",
IF(tbl_threshold[[#This Row],[Final_Risk_Score]]&gt;=$E$3,"Medium","Low"))</f>
        <v>High</v>
      </c>
    </row>
    <row r="118" spans="1:3">
      <c r="A118" t="str">
        <f>tbl_Data2[[#This Row],[Customer_ID]]</f>
        <v>CUST-117</v>
      </c>
      <c r="B118">
        <f>tbl_Data2[[#This Row],[Final_Risk_Score]]</f>
        <v>7.7</v>
      </c>
      <c r="C118" t="str">
        <f>IF(tbl_threshold[[#This Row],[Final_Risk_Score]]&gt;=$E$2,"High",
IF(tbl_threshold[[#This Row],[Final_Risk_Score]]&gt;=$E$3,"Medium","Low"))</f>
        <v>High</v>
      </c>
    </row>
    <row r="119" spans="1:3">
      <c r="A119" t="str">
        <f>tbl_Data2[[#This Row],[Customer_ID]]</f>
        <v>CUST-118</v>
      </c>
      <c r="B119">
        <f>tbl_Data2[[#This Row],[Final_Risk_Score]]</f>
        <v>5.7</v>
      </c>
      <c r="C119" t="str">
        <f>IF(tbl_threshold[[#This Row],[Final_Risk_Score]]&gt;=$E$2,"High",
IF(tbl_threshold[[#This Row],[Final_Risk_Score]]&gt;=$E$3,"Medium","Low"))</f>
        <v>Medium</v>
      </c>
    </row>
    <row r="120" spans="1:3">
      <c r="A120" t="str">
        <f>tbl_Data2[[#This Row],[Customer_ID]]</f>
        <v>CUST-119</v>
      </c>
      <c r="B120">
        <f>tbl_Data2[[#This Row],[Final_Risk_Score]]</f>
        <v>5.8</v>
      </c>
      <c r="C120" t="str">
        <f>IF(tbl_threshold[[#This Row],[Final_Risk_Score]]&gt;=$E$2,"High",
IF(tbl_threshold[[#This Row],[Final_Risk_Score]]&gt;=$E$3,"Medium","Low"))</f>
        <v>Medium</v>
      </c>
    </row>
    <row r="121" spans="1:3">
      <c r="A121" t="str">
        <f>tbl_Data2[[#This Row],[Customer_ID]]</f>
        <v>CUST-120</v>
      </c>
      <c r="B121">
        <f>tbl_Data2[[#This Row],[Final_Risk_Score]]</f>
        <v>6.4</v>
      </c>
      <c r="C121" t="str">
        <f>IF(tbl_threshold[[#This Row],[Final_Risk_Score]]&gt;=$E$2,"High",
IF(tbl_threshold[[#This Row],[Final_Risk_Score]]&gt;=$E$3,"Medium","Low"))</f>
        <v>Medium</v>
      </c>
    </row>
    <row r="122" spans="1:3">
      <c r="A122" t="str">
        <f>tbl_Data2[[#This Row],[Customer_ID]]</f>
        <v>CUST-121</v>
      </c>
      <c r="B122">
        <f>tbl_Data2[[#This Row],[Final_Risk_Score]]</f>
        <v>5.8</v>
      </c>
      <c r="C122" t="str">
        <f>IF(tbl_threshold[[#This Row],[Final_Risk_Score]]&gt;=$E$2,"High",
IF(tbl_threshold[[#This Row],[Final_Risk_Score]]&gt;=$E$3,"Medium","Low"))</f>
        <v>Medium</v>
      </c>
    </row>
    <row r="123" spans="1:3">
      <c r="A123" t="str">
        <f>tbl_Data2[[#This Row],[Customer_ID]]</f>
        <v>CUST-122</v>
      </c>
      <c r="B123">
        <f>tbl_Data2[[#This Row],[Final_Risk_Score]]</f>
        <v>6</v>
      </c>
      <c r="C123" t="str">
        <f>IF(tbl_threshold[[#This Row],[Final_Risk_Score]]&gt;=$E$2,"High",
IF(tbl_threshold[[#This Row],[Final_Risk_Score]]&gt;=$E$3,"Medium","Low"))</f>
        <v>Medium</v>
      </c>
    </row>
    <row r="124" spans="1:3">
      <c r="A124" t="str">
        <f>tbl_Data2[[#This Row],[Customer_ID]]</f>
        <v>CUST-123</v>
      </c>
      <c r="B124">
        <f>tbl_Data2[[#This Row],[Final_Risk_Score]]</f>
        <v>6.9</v>
      </c>
      <c r="C124" t="str">
        <f>IF(tbl_threshold[[#This Row],[Final_Risk_Score]]&gt;=$E$2,"High",
IF(tbl_threshold[[#This Row],[Final_Risk_Score]]&gt;=$E$3,"Medium","Low"))</f>
        <v>Medium</v>
      </c>
    </row>
    <row r="125" spans="1:3">
      <c r="A125" t="str">
        <f>tbl_Data2[[#This Row],[Customer_ID]]</f>
        <v>CUST-124</v>
      </c>
      <c r="B125">
        <f>tbl_Data2[[#This Row],[Final_Risk_Score]]</f>
        <v>5.3</v>
      </c>
      <c r="C125" t="str">
        <f>IF(tbl_threshold[[#This Row],[Final_Risk_Score]]&gt;=$E$2,"High",
IF(tbl_threshold[[#This Row],[Final_Risk_Score]]&gt;=$E$3,"Medium","Low"))</f>
        <v>Low</v>
      </c>
    </row>
    <row r="126" spans="1:3">
      <c r="A126" t="str">
        <f>tbl_Data2[[#This Row],[Customer_ID]]</f>
        <v>CUST-125</v>
      </c>
      <c r="B126">
        <f>tbl_Data2[[#This Row],[Final_Risk_Score]]</f>
        <v>7</v>
      </c>
      <c r="C126" t="str">
        <f>IF(tbl_threshold[[#This Row],[Final_Risk_Score]]&gt;=$E$2,"High",
IF(tbl_threshold[[#This Row],[Final_Risk_Score]]&gt;=$E$3,"Medium","Low"))</f>
        <v>Medium</v>
      </c>
    </row>
    <row r="127" spans="1:3">
      <c r="A127" t="str">
        <f>tbl_Data2[[#This Row],[Customer_ID]]</f>
        <v>CUST-126</v>
      </c>
      <c r="B127">
        <f>tbl_Data2[[#This Row],[Final_Risk_Score]]</f>
        <v>7.1</v>
      </c>
      <c r="C127" t="str">
        <f>IF(tbl_threshold[[#This Row],[Final_Risk_Score]]&gt;=$E$2,"High",
IF(tbl_threshold[[#This Row],[Final_Risk_Score]]&gt;=$E$3,"Medium","Low"))</f>
        <v>Medium</v>
      </c>
    </row>
    <row r="128" spans="1:3">
      <c r="A128" t="str">
        <f>tbl_Data2[[#This Row],[Customer_ID]]</f>
        <v>CUST-127</v>
      </c>
      <c r="B128">
        <f>tbl_Data2[[#This Row],[Final_Risk_Score]]</f>
        <v>5.4</v>
      </c>
      <c r="C128" t="str">
        <f>IF(tbl_threshold[[#This Row],[Final_Risk_Score]]&gt;=$E$2,"High",
IF(tbl_threshold[[#This Row],[Final_Risk_Score]]&gt;=$E$3,"Medium","Low"))</f>
        <v>Low</v>
      </c>
    </row>
    <row r="129" spans="1:3">
      <c r="A129" t="str">
        <f>tbl_Data2[[#This Row],[Customer_ID]]</f>
        <v>CUST-128</v>
      </c>
      <c r="B129">
        <f>tbl_Data2[[#This Row],[Final_Risk_Score]]</f>
        <v>6</v>
      </c>
      <c r="C129" t="str">
        <f>IF(tbl_threshold[[#This Row],[Final_Risk_Score]]&gt;=$E$2,"High",
IF(tbl_threshold[[#This Row],[Final_Risk_Score]]&gt;=$E$3,"Medium","Low"))</f>
        <v>Medium</v>
      </c>
    </row>
    <row r="130" spans="1:3">
      <c r="A130" t="str">
        <f>tbl_Data2[[#This Row],[Customer_ID]]</f>
        <v>CUST-129</v>
      </c>
      <c r="B130">
        <f>tbl_Data2[[#This Row],[Final_Risk_Score]]</f>
        <v>6.4</v>
      </c>
      <c r="C130" t="str">
        <f>IF(tbl_threshold[[#This Row],[Final_Risk_Score]]&gt;=$E$2,"High",
IF(tbl_threshold[[#This Row],[Final_Risk_Score]]&gt;=$E$3,"Medium","Low"))</f>
        <v>Medium</v>
      </c>
    </row>
    <row r="131" spans="1:3">
      <c r="A131" t="str">
        <f>tbl_Data2[[#This Row],[Customer_ID]]</f>
        <v>CUST-130</v>
      </c>
      <c r="B131">
        <f>tbl_Data2[[#This Row],[Final_Risk_Score]]</f>
        <v>7</v>
      </c>
      <c r="C131" t="str">
        <f>IF(tbl_threshold[[#This Row],[Final_Risk_Score]]&gt;=$E$2,"High",
IF(tbl_threshold[[#This Row],[Final_Risk_Score]]&gt;=$E$3,"Medium","Low"))</f>
        <v>Medium</v>
      </c>
    </row>
    <row r="132" spans="1:3">
      <c r="A132" t="str">
        <f>tbl_Data2[[#This Row],[Customer_ID]]</f>
        <v>CUST-131</v>
      </c>
      <c r="B132">
        <f>tbl_Data2[[#This Row],[Final_Risk_Score]]</f>
        <v>7</v>
      </c>
      <c r="C132" t="str">
        <f>IF(tbl_threshold[[#This Row],[Final_Risk_Score]]&gt;=$E$2,"High",
IF(tbl_threshold[[#This Row],[Final_Risk_Score]]&gt;=$E$3,"Medium","Low"))</f>
        <v>Medium</v>
      </c>
    </row>
    <row r="133" spans="1:3">
      <c r="A133" t="str">
        <f>tbl_Data2[[#This Row],[Customer_ID]]</f>
        <v>CUST-132</v>
      </c>
      <c r="B133">
        <f>tbl_Data2[[#This Row],[Final_Risk_Score]]</f>
        <v>8.1</v>
      </c>
      <c r="C133" t="str">
        <f>IF(tbl_threshold[[#This Row],[Final_Risk_Score]]&gt;=$E$2,"High",
IF(tbl_threshold[[#This Row],[Final_Risk_Score]]&gt;=$E$3,"Medium","Low"))</f>
        <v>High</v>
      </c>
    </row>
    <row r="134" spans="1:3">
      <c r="A134" t="str">
        <f>tbl_Data2[[#This Row],[Customer_ID]]</f>
        <v>CUST-133</v>
      </c>
      <c r="B134">
        <f>tbl_Data2[[#This Row],[Final_Risk_Score]]</f>
        <v>8.6999999999999993</v>
      </c>
      <c r="C134" t="str">
        <f>IF(tbl_threshold[[#This Row],[Final_Risk_Score]]&gt;=$E$2,"High",
IF(tbl_threshold[[#This Row],[Final_Risk_Score]]&gt;=$E$3,"Medium","Low"))</f>
        <v>High</v>
      </c>
    </row>
    <row r="135" spans="1:3">
      <c r="A135" t="str">
        <f>tbl_Data2[[#This Row],[Customer_ID]]</f>
        <v>CUST-134</v>
      </c>
      <c r="B135">
        <f>tbl_Data2[[#This Row],[Final_Risk_Score]]</f>
        <v>6.3</v>
      </c>
      <c r="C135" t="str">
        <f>IF(tbl_threshold[[#This Row],[Final_Risk_Score]]&gt;=$E$2,"High",
IF(tbl_threshold[[#This Row],[Final_Risk_Score]]&gt;=$E$3,"Medium","Low"))</f>
        <v>Medium</v>
      </c>
    </row>
    <row r="136" spans="1:3">
      <c r="A136" t="str">
        <f>tbl_Data2[[#This Row],[Customer_ID]]</f>
        <v>CUST-135</v>
      </c>
      <c r="B136">
        <f>tbl_Data2[[#This Row],[Final_Risk_Score]]</f>
        <v>6.4</v>
      </c>
      <c r="C136" t="str">
        <f>IF(tbl_threshold[[#This Row],[Final_Risk_Score]]&gt;=$E$2,"High",
IF(tbl_threshold[[#This Row],[Final_Risk_Score]]&gt;=$E$3,"Medium","Low"))</f>
        <v>Medium</v>
      </c>
    </row>
    <row r="137" spans="1:3">
      <c r="A137" t="str">
        <f>tbl_Data2[[#This Row],[Customer_ID]]</f>
        <v>CUST-136</v>
      </c>
      <c r="B137">
        <f>tbl_Data2[[#This Row],[Final_Risk_Score]]</f>
        <v>5.2</v>
      </c>
      <c r="C137" t="str">
        <f>IF(tbl_threshold[[#This Row],[Final_Risk_Score]]&gt;=$E$2,"High",
IF(tbl_threshold[[#This Row],[Final_Risk_Score]]&gt;=$E$3,"Medium","Low"))</f>
        <v>Low</v>
      </c>
    </row>
    <row r="138" spans="1:3">
      <c r="A138" t="str">
        <f>tbl_Data2[[#This Row],[Customer_ID]]</f>
        <v>CUST-137</v>
      </c>
      <c r="B138">
        <f>tbl_Data2[[#This Row],[Final_Risk_Score]]</f>
        <v>7.9</v>
      </c>
      <c r="C138" t="str">
        <f>IF(tbl_threshold[[#This Row],[Final_Risk_Score]]&gt;=$E$2,"High",
IF(tbl_threshold[[#This Row],[Final_Risk_Score]]&gt;=$E$3,"Medium","Low"))</f>
        <v>High</v>
      </c>
    </row>
    <row r="139" spans="1:3">
      <c r="A139" t="str">
        <f>tbl_Data2[[#This Row],[Customer_ID]]</f>
        <v>CUST-138</v>
      </c>
      <c r="B139">
        <f>tbl_Data2[[#This Row],[Final_Risk_Score]]</f>
        <v>6.4</v>
      </c>
      <c r="C139" t="str">
        <f>IF(tbl_threshold[[#This Row],[Final_Risk_Score]]&gt;=$E$2,"High",
IF(tbl_threshold[[#This Row],[Final_Risk_Score]]&gt;=$E$3,"Medium","Low"))</f>
        <v>Medium</v>
      </c>
    </row>
    <row r="140" spans="1:3">
      <c r="A140" t="str">
        <f>tbl_Data2[[#This Row],[Customer_ID]]</f>
        <v>CUST-139</v>
      </c>
      <c r="B140">
        <f>tbl_Data2[[#This Row],[Final_Risk_Score]]</f>
        <v>8.6999999999999993</v>
      </c>
      <c r="C140" t="str">
        <f>IF(tbl_threshold[[#This Row],[Final_Risk_Score]]&gt;=$E$2,"High",
IF(tbl_threshold[[#This Row],[Final_Risk_Score]]&gt;=$E$3,"Medium","Low"))</f>
        <v>High</v>
      </c>
    </row>
    <row r="141" spans="1:3">
      <c r="A141" t="str">
        <f>tbl_Data2[[#This Row],[Customer_ID]]</f>
        <v>CUST-140</v>
      </c>
      <c r="B141">
        <f>tbl_Data2[[#This Row],[Final_Risk_Score]]</f>
        <v>7.6</v>
      </c>
      <c r="C141" t="str">
        <f>IF(tbl_threshold[[#This Row],[Final_Risk_Score]]&gt;=$E$2,"High",
IF(tbl_threshold[[#This Row],[Final_Risk_Score]]&gt;=$E$3,"Medium","Low"))</f>
        <v>High</v>
      </c>
    </row>
    <row r="142" spans="1:3">
      <c r="A142" t="str">
        <f>tbl_Data2[[#This Row],[Customer_ID]]</f>
        <v>CUST-141</v>
      </c>
      <c r="B142">
        <f>tbl_Data2[[#This Row],[Final_Risk_Score]]</f>
        <v>3.1</v>
      </c>
      <c r="C142" t="str">
        <f>IF(tbl_threshold[[#This Row],[Final_Risk_Score]]&gt;=$E$2,"High",
IF(tbl_threshold[[#This Row],[Final_Risk_Score]]&gt;=$E$3,"Medium","Low"))</f>
        <v>Low</v>
      </c>
    </row>
    <row r="143" spans="1:3">
      <c r="A143" t="str">
        <f>tbl_Data2[[#This Row],[Customer_ID]]</f>
        <v>CUST-142</v>
      </c>
      <c r="B143">
        <f>tbl_Data2[[#This Row],[Final_Risk_Score]]</f>
        <v>5.9</v>
      </c>
      <c r="C143" t="str">
        <f>IF(tbl_threshold[[#This Row],[Final_Risk_Score]]&gt;=$E$2,"High",
IF(tbl_threshold[[#This Row],[Final_Risk_Score]]&gt;=$E$3,"Medium","Low"))</f>
        <v>Medium</v>
      </c>
    </row>
    <row r="144" spans="1:3">
      <c r="A144" t="str">
        <f>tbl_Data2[[#This Row],[Customer_ID]]</f>
        <v>CUST-143</v>
      </c>
      <c r="B144">
        <f>tbl_Data2[[#This Row],[Final_Risk_Score]]</f>
        <v>6.4</v>
      </c>
      <c r="C144" t="str">
        <f>IF(tbl_threshold[[#This Row],[Final_Risk_Score]]&gt;=$E$2,"High",
IF(tbl_threshold[[#This Row],[Final_Risk_Score]]&gt;=$E$3,"Medium","Low"))</f>
        <v>Medium</v>
      </c>
    </row>
    <row r="145" spans="1:3">
      <c r="A145" t="str">
        <f>tbl_Data2[[#This Row],[Customer_ID]]</f>
        <v>CUST-144</v>
      </c>
      <c r="B145">
        <f>tbl_Data2[[#This Row],[Final_Risk_Score]]</f>
        <v>5.3</v>
      </c>
      <c r="C145" t="str">
        <f>IF(tbl_threshold[[#This Row],[Final_Risk_Score]]&gt;=$E$2,"High",
IF(tbl_threshold[[#This Row],[Final_Risk_Score]]&gt;=$E$3,"Medium","Low"))</f>
        <v>Low</v>
      </c>
    </row>
    <row r="146" spans="1:3">
      <c r="A146" t="str">
        <f>tbl_Data2[[#This Row],[Customer_ID]]</f>
        <v>CUST-145</v>
      </c>
      <c r="B146">
        <f>tbl_Data2[[#This Row],[Final_Risk_Score]]</f>
        <v>8.1</v>
      </c>
      <c r="C146" t="str">
        <f>IF(tbl_threshold[[#This Row],[Final_Risk_Score]]&gt;=$E$2,"High",
IF(tbl_threshold[[#This Row],[Final_Risk_Score]]&gt;=$E$3,"Medium","Low"))</f>
        <v>High</v>
      </c>
    </row>
    <row r="147" spans="1:3">
      <c r="A147" t="str">
        <f>tbl_Data2[[#This Row],[Customer_ID]]</f>
        <v>CUST-146</v>
      </c>
      <c r="B147">
        <f>tbl_Data2[[#This Row],[Final_Risk_Score]]</f>
        <v>5.7</v>
      </c>
      <c r="C147" t="str">
        <f>IF(tbl_threshold[[#This Row],[Final_Risk_Score]]&gt;=$E$2,"High",
IF(tbl_threshold[[#This Row],[Final_Risk_Score]]&gt;=$E$3,"Medium","Low"))</f>
        <v>Medium</v>
      </c>
    </row>
    <row r="148" spans="1:3">
      <c r="A148" t="str">
        <f>tbl_Data2[[#This Row],[Customer_ID]]</f>
        <v>CUST-147</v>
      </c>
      <c r="B148">
        <f>tbl_Data2[[#This Row],[Final_Risk_Score]]</f>
        <v>7.2</v>
      </c>
      <c r="C148" t="str">
        <f>IF(tbl_threshold[[#This Row],[Final_Risk_Score]]&gt;=$E$2,"High",
IF(tbl_threshold[[#This Row],[Final_Risk_Score]]&gt;=$E$3,"Medium","Low"))</f>
        <v>Medium</v>
      </c>
    </row>
    <row r="149" spans="1:3">
      <c r="A149" t="str">
        <f>tbl_Data2[[#This Row],[Customer_ID]]</f>
        <v>CUST-148</v>
      </c>
      <c r="B149">
        <f>tbl_Data2[[#This Row],[Final_Risk_Score]]</f>
        <v>5.7</v>
      </c>
      <c r="C149" t="str">
        <f>IF(tbl_threshold[[#This Row],[Final_Risk_Score]]&gt;=$E$2,"High",
IF(tbl_threshold[[#This Row],[Final_Risk_Score]]&gt;=$E$3,"Medium","Low"))</f>
        <v>Medium</v>
      </c>
    </row>
    <row r="150" spans="1:3">
      <c r="A150" t="str">
        <f>tbl_Data2[[#This Row],[Customer_ID]]</f>
        <v>CUST-149</v>
      </c>
      <c r="B150">
        <f>tbl_Data2[[#This Row],[Final_Risk_Score]]</f>
        <v>6.9</v>
      </c>
      <c r="C150" t="str">
        <f>IF(tbl_threshold[[#This Row],[Final_Risk_Score]]&gt;=$E$2,"High",
IF(tbl_threshold[[#This Row],[Final_Risk_Score]]&gt;=$E$3,"Medium","Low"))</f>
        <v>Medium</v>
      </c>
    </row>
    <row r="151" spans="1:3">
      <c r="A151" t="str">
        <f>tbl_Data2[[#This Row],[Customer_ID]]</f>
        <v>CUST-150</v>
      </c>
      <c r="B151">
        <f>tbl_Data2[[#This Row],[Final_Risk_Score]]</f>
        <v>4.3</v>
      </c>
      <c r="C151" t="str">
        <f>IF(tbl_threshold[[#This Row],[Final_Risk_Score]]&gt;=$E$2,"High",
IF(tbl_threshold[[#This Row],[Final_Risk_Score]]&gt;=$E$3,"Medium","Low"))</f>
        <v>Low</v>
      </c>
    </row>
    <row r="152" spans="1:3">
      <c r="A152" t="str">
        <f>tbl_Data2[[#This Row],[Customer_ID]]</f>
        <v>CUST-151</v>
      </c>
      <c r="B152">
        <f>tbl_Data2[[#This Row],[Final_Risk_Score]]</f>
        <v>7.6</v>
      </c>
      <c r="C152" t="str">
        <f>IF(tbl_threshold[[#This Row],[Final_Risk_Score]]&gt;=$E$2,"High",
IF(tbl_threshold[[#This Row],[Final_Risk_Score]]&gt;=$E$3,"Medium","Low"))</f>
        <v>High</v>
      </c>
    </row>
    <row r="153" spans="1:3">
      <c r="A153" t="str">
        <f>tbl_Data2[[#This Row],[Customer_ID]]</f>
        <v>CUST-152</v>
      </c>
      <c r="B153">
        <f>tbl_Data2[[#This Row],[Final_Risk_Score]]</f>
        <v>6.5</v>
      </c>
      <c r="C153" t="str">
        <f>IF(tbl_threshold[[#This Row],[Final_Risk_Score]]&gt;=$E$2,"High",
IF(tbl_threshold[[#This Row],[Final_Risk_Score]]&gt;=$E$3,"Medium","Low"))</f>
        <v>Medium</v>
      </c>
    </row>
    <row r="154" spans="1:3">
      <c r="A154" t="str">
        <f>tbl_Data2[[#This Row],[Customer_ID]]</f>
        <v>CUST-153</v>
      </c>
      <c r="B154">
        <f>tbl_Data2[[#This Row],[Final_Risk_Score]]</f>
        <v>8.6999999999999993</v>
      </c>
      <c r="C154" t="str">
        <f>IF(tbl_threshold[[#This Row],[Final_Risk_Score]]&gt;=$E$2,"High",
IF(tbl_threshold[[#This Row],[Final_Risk_Score]]&gt;=$E$3,"Medium","Low"))</f>
        <v>High</v>
      </c>
    </row>
    <row r="155" spans="1:3">
      <c r="A155" t="str">
        <f>tbl_Data2[[#This Row],[Customer_ID]]</f>
        <v>CUST-154</v>
      </c>
      <c r="B155">
        <f>tbl_Data2[[#This Row],[Final_Risk_Score]]</f>
        <v>6.5</v>
      </c>
      <c r="C155" t="str">
        <f>IF(tbl_threshold[[#This Row],[Final_Risk_Score]]&gt;=$E$2,"High",
IF(tbl_threshold[[#This Row],[Final_Risk_Score]]&gt;=$E$3,"Medium","Low"))</f>
        <v>Medium</v>
      </c>
    </row>
    <row r="156" spans="1:3">
      <c r="A156" t="str">
        <f>tbl_Data2[[#This Row],[Customer_ID]]</f>
        <v>CUST-155</v>
      </c>
      <c r="B156">
        <f>tbl_Data2[[#This Row],[Final_Risk_Score]]</f>
        <v>3.8</v>
      </c>
      <c r="C156" t="str">
        <f>IF(tbl_threshold[[#This Row],[Final_Risk_Score]]&gt;=$E$2,"High",
IF(tbl_threshold[[#This Row],[Final_Risk_Score]]&gt;=$E$3,"Medium","Low"))</f>
        <v>Low</v>
      </c>
    </row>
    <row r="157" spans="1:3">
      <c r="A157" t="str">
        <f>tbl_Data2[[#This Row],[Customer_ID]]</f>
        <v>CUST-156</v>
      </c>
      <c r="B157">
        <f>tbl_Data2[[#This Row],[Final_Risk_Score]]</f>
        <v>8.1</v>
      </c>
      <c r="C157" t="str">
        <f>IF(tbl_threshold[[#This Row],[Final_Risk_Score]]&gt;=$E$2,"High",
IF(tbl_threshold[[#This Row],[Final_Risk_Score]]&gt;=$E$3,"Medium","Low"))</f>
        <v>High</v>
      </c>
    </row>
    <row r="158" spans="1:3">
      <c r="A158" t="str">
        <f>tbl_Data2[[#This Row],[Customer_ID]]</f>
        <v>CUST-157</v>
      </c>
      <c r="B158">
        <f>tbl_Data2[[#This Row],[Final_Risk_Score]]</f>
        <v>7.5</v>
      </c>
      <c r="C158" t="str">
        <f>IF(tbl_threshold[[#This Row],[Final_Risk_Score]]&gt;=$E$2,"High",
IF(tbl_threshold[[#This Row],[Final_Risk_Score]]&gt;=$E$3,"Medium","Low"))</f>
        <v>High</v>
      </c>
    </row>
    <row r="159" spans="1:3">
      <c r="A159" t="str">
        <f>tbl_Data2[[#This Row],[Customer_ID]]</f>
        <v>CUST-158</v>
      </c>
      <c r="B159">
        <f>tbl_Data2[[#This Row],[Final_Risk_Score]]</f>
        <v>6.7</v>
      </c>
      <c r="C159" t="str">
        <f>IF(tbl_threshold[[#This Row],[Final_Risk_Score]]&gt;=$E$2,"High",
IF(tbl_threshold[[#This Row],[Final_Risk_Score]]&gt;=$E$3,"Medium","Low"))</f>
        <v>Medium</v>
      </c>
    </row>
    <row r="160" spans="1:3">
      <c r="A160" t="str">
        <f>tbl_Data2[[#This Row],[Customer_ID]]</f>
        <v>CUST-159</v>
      </c>
      <c r="B160">
        <f>tbl_Data2[[#This Row],[Final_Risk_Score]]</f>
        <v>6.4</v>
      </c>
      <c r="C160" t="str">
        <f>IF(tbl_threshold[[#This Row],[Final_Risk_Score]]&gt;=$E$2,"High",
IF(tbl_threshold[[#This Row],[Final_Risk_Score]]&gt;=$E$3,"Medium","Low"))</f>
        <v>Medium</v>
      </c>
    </row>
    <row r="161" spans="1:3">
      <c r="A161" t="str">
        <f>tbl_Data2[[#This Row],[Customer_ID]]</f>
        <v>CUST-160</v>
      </c>
      <c r="B161">
        <f>tbl_Data2[[#This Row],[Final_Risk_Score]]</f>
        <v>6.5</v>
      </c>
      <c r="C161" t="str">
        <f>IF(tbl_threshold[[#This Row],[Final_Risk_Score]]&gt;=$E$2,"High",
IF(tbl_threshold[[#This Row],[Final_Risk_Score]]&gt;=$E$3,"Medium","Low"))</f>
        <v>Medium</v>
      </c>
    </row>
    <row r="162" spans="1:3">
      <c r="A162" t="str">
        <f>tbl_Data2[[#This Row],[Customer_ID]]</f>
        <v>CUST-161</v>
      </c>
      <c r="B162">
        <f>tbl_Data2[[#This Row],[Final_Risk_Score]]</f>
        <v>3.8</v>
      </c>
      <c r="C162" t="str">
        <f>IF(tbl_threshold[[#This Row],[Final_Risk_Score]]&gt;=$E$2,"High",
IF(tbl_threshold[[#This Row],[Final_Risk_Score]]&gt;=$E$3,"Medium","Low"))</f>
        <v>Low</v>
      </c>
    </row>
    <row r="163" spans="1:3">
      <c r="A163" t="str">
        <f>tbl_Data2[[#This Row],[Customer_ID]]</f>
        <v>CUST-162</v>
      </c>
      <c r="B163">
        <f>tbl_Data2[[#This Row],[Final_Risk_Score]]</f>
        <v>7.7</v>
      </c>
      <c r="C163" t="str">
        <f>IF(tbl_threshold[[#This Row],[Final_Risk_Score]]&gt;=$E$2,"High",
IF(tbl_threshold[[#This Row],[Final_Risk_Score]]&gt;=$E$3,"Medium","Low"))</f>
        <v>High</v>
      </c>
    </row>
    <row r="164" spans="1:3">
      <c r="A164" t="str">
        <f>tbl_Data2[[#This Row],[Customer_ID]]</f>
        <v>CUST-163</v>
      </c>
      <c r="B164">
        <f>tbl_Data2[[#This Row],[Final_Risk_Score]]</f>
        <v>6.4</v>
      </c>
      <c r="C164" t="str">
        <f>IF(tbl_threshold[[#This Row],[Final_Risk_Score]]&gt;=$E$2,"High",
IF(tbl_threshold[[#This Row],[Final_Risk_Score]]&gt;=$E$3,"Medium","Low"))</f>
        <v>Medium</v>
      </c>
    </row>
    <row r="165" spans="1:3">
      <c r="A165" t="str">
        <f>tbl_Data2[[#This Row],[Customer_ID]]</f>
        <v>CUST-164</v>
      </c>
      <c r="B165">
        <f>tbl_Data2[[#This Row],[Final_Risk_Score]]</f>
        <v>7.5</v>
      </c>
      <c r="C165" t="str">
        <f>IF(tbl_threshold[[#This Row],[Final_Risk_Score]]&gt;=$E$2,"High",
IF(tbl_threshold[[#This Row],[Final_Risk_Score]]&gt;=$E$3,"Medium","Low"))</f>
        <v>High</v>
      </c>
    </row>
    <row r="166" spans="1:3">
      <c r="A166" t="str">
        <f>tbl_Data2[[#This Row],[Customer_ID]]</f>
        <v>CUST-165</v>
      </c>
      <c r="B166">
        <f>tbl_Data2[[#This Row],[Final_Risk_Score]]</f>
        <v>5.4</v>
      </c>
      <c r="C166" t="str">
        <f>IF(tbl_threshold[[#This Row],[Final_Risk_Score]]&gt;=$E$2,"High",
IF(tbl_threshold[[#This Row],[Final_Risk_Score]]&gt;=$E$3,"Medium","Low"))</f>
        <v>Low</v>
      </c>
    </row>
    <row r="167" spans="1:3">
      <c r="A167" t="str">
        <f>tbl_Data2[[#This Row],[Customer_ID]]</f>
        <v>CUST-166</v>
      </c>
      <c r="B167">
        <f>tbl_Data2[[#This Row],[Final_Risk_Score]]</f>
        <v>6.3</v>
      </c>
      <c r="C167" t="str">
        <f>IF(tbl_threshold[[#This Row],[Final_Risk_Score]]&gt;=$E$2,"High",
IF(tbl_threshold[[#This Row],[Final_Risk_Score]]&gt;=$E$3,"Medium","Low"))</f>
        <v>Medium</v>
      </c>
    </row>
    <row r="168" spans="1:3">
      <c r="A168" t="str">
        <f>tbl_Data2[[#This Row],[Customer_ID]]</f>
        <v>CUST-167</v>
      </c>
      <c r="B168">
        <f>tbl_Data2[[#This Row],[Final_Risk_Score]]</f>
        <v>6.4</v>
      </c>
      <c r="C168" t="str">
        <f>IF(tbl_threshold[[#This Row],[Final_Risk_Score]]&gt;=$E$2,"High",
IF(tbl_threshold[[#This Row],[Final_Risk_Score]]&gt;=$E$3,"Medium","Low"))</f>
        <v>Medium</v>
      </c>
    </row>
    <row r="169" spans="1:3">
      <c r="A169" t="str">
        <f>tbl_Data2[[#This Row],[Customer_ID]]</f>
        <v>CUST-168</v>
      </c>
      <c r="B169">
        <f>tbl_Data2[[#This Row],[Final_Risk_Score]]</f>
        <v>5.8</v>
      </c>
      <c r="C169" t="str">
        <f>IF(tbl_threshold[[#This Row],[Final_Risk_Score]]&gt;=$E$2,"High",
IF(tbl_threshold[[#This Row],[Final_Risk_Score]]&gt;=$E$3,"Medium","Low"))</f>
        <v>Medium</v>
      </c>
    </row>
    <row r="170" spans="1:3">
      <c r="A170" t="str">
        <f>tbl_Data2[[#This Row],[Customer_ID]]</f>
        <v>CUST-169</v>
      </c>
      <c r="B170">
        <f>tbl_Data2[[#This Row],[Final_Risk_Score]]</f>
        <v>5.2</v>
      </c>
      <c r="C170" t="str">
        <f>IF(tbl_threshold[[#This Row],[Final_Risk_Score]]&gt;=$E$2,"High",
IF(tbl_threshold[[#This Row],[Final_Risk_Score]]&gt;=$E$3,"Medium","Low"))</f>
        <v>Low</v>
      </c>
    </row>
    <row r="171" spans="1:3">
      <c r="A171" t="str">
        <f>tbl_Data2[[#This Row],[Customer_ID]]</f>
        <v>CUST-170</v>
      </c>
      <c r="B171">
        <f>tbl_Data2[[#This Row],[Final_Risk_Score]]</f>
        <v>5.5</v>
      </c>
      <c r="C171" t="str">
        <f>IF(tbl_threshold[[#This Row],[Final_Risk_Score]]&gt;=$E$2,"High",
IF(tbl_threshold[[#This Row],[Final_Risk_Score]]&gt;=$E$3,"Medium","Low"))</f>
        <v>Medium</v>
      </c>
    </row>
    <row r="172" spans="1:3">
      <c r="A172" t="str">
        <f>tbl_Data2[[#This Row],[Customer_ID]]</f>
        <v>CUST-171</v>
      </c>
      <c r="B172">
        <f>tbl_Data2[[#This Row],[Final_Risk_Score]]</f>
        <v>6.4</v>
      </c>
      <c r="C172" t="str">
        <f>IF(tbl_threshold[[#This Row],[Final_Risk_Score]]&gt;=$E$2,"High",
IF(tbl_threshold[[#This Row],[Final_Risk_Score]]&gt;=$E$3,"Medium","Low"))</f>
        <v>Medium</v>
      </c>
    </row>
    <row r="173" spans="1:3">
      <c r="A173" t="str">
        <f>tbl_Data2[[#This Row],[Customer_ID]]</f>
        <v>CUST-172</v>
      </c>
      <c r="B173">
        <f>tbl_Data2[[#This Row],[Final_Risk_Score]]</f>
        <v>7.1</v>
      </c>
      <c r="C173" t="str">
        <f>IF(tbl_threshold[[#This Row],[Final_Risk_Score]]&gt;=$E$2,"High",
IF(tbl_threshold[[#This Row],[Final_Risk_Score]]&gt;=$E$3,"Medium","Low"))</f>
        <v>Medium</v>
      </c>
    </row>
    <row r="174" spans="1:3">
      <c r="A174" t="str">
        <f>tbl_Data2[[#This Row],[Customer_ID]]</f>
        <v>CUST-173</v>
      </c>
      <c r="B174">
        <f>tbl_Data2[[#This Row],[Final_Risk_Score]]</f>
        <v>6.2</v>
      </c>
      <c r="C174" t="str">
        <f>IF(tbl_threshold[[#This Row],[Final_Risk_Score]]&gt;=$E$2,"High",
IF(tbl_threshold[[#This Row],[Final_Risk_Score]]&gt;=$E$3,"Medium","Low"))</f>
        <v>Medium</v>
      </c>
    </row>
    <row r="175" spans="1:3">
      <c r="A175" t="str">
        <f>tbl_Data2[[#This Row],[Customer_ID]]</f>
        <v>CUST-174</v>
      </c>
      <c r="B175">
        <f>tbl_Data2[[#This Row],[Final_Risk_Score]]</f>
        <v>6</v>
      </c>
      <c r="C175" t="str">
        <f>IF(tbl_threshold[[#This Row],[Final_Risk_Score]]&gt;=$E$2,"High",
IF(tbl_threshold[[#This Row],[Final_Risk_Score]]&gt;=$E$3,"Medium","Low"))</f>
        <v>Medium</v>
      </c>
    </row>
    <row r="176" spans="1:3">
      <c r="A176" t="str">
        <f>tbl_Data2[[#This Row],[Customer_ID]]</f>
        <v>CUST-175</v>
      </c>
      <c r="B176">
        <f>tbl_Data2[[#This Row],[Final_Risk_Score]]</f>
        <v>7.9</v>
      </c>
      <c r="C176" t="str">
        <f>IF(tbl_threshold[[#This Row],[Final_Risk_Score]]&gt;=$E$2,"High",
IF(tbl_threshold[[#This Row],[Final_Risk_Score]]&gt;=$E$3,"Medium","Low"))</f>
        <v>High</v>
      </c>
    </row>
    <row r="177" spans="1:3">
      <c r="A177" t="str">
        <f>tbl_Data2[[#This Row],[Customer_ID]]</f>
        <v>CUST-176</v>
      </c>
      <c r="B177">
        <f>tbl_Data2[[#This Row],[Final_Risk_Score]]</f>
        <v>3.6</v>
      </c>
      <c r="C177" t="str">
        <f>IF(tbl_threshold[[#This Row],[Final_Risk_Score]]&gt;=$E$2,"High",
IF(tbl_threshold[[#This Row],[Final_Risk_Score]]&gt;=$E$3,"Medium","Low"))</f>
        <v>Low</v>
      </c>
    </row>
    <row r="178" spans="1:3">
      <c r="A178" t="str">
        <f>tbl_Data2[[#This Row],[Customer_ID]]</f>
        <v>CUST-177</v>
      </c>
      <c r="B178">
        <f>tbl_Data2[[#This Row],[Final_Risk_Score]]</f>
        <v>4.7</v>
      </c>
      <c r="C178" t="str">
        <f>IF(tbl_threshold[[#This Row],[Final_Risk_Score]]&gt;=$E$2,"High",
IF(tbl_threshold[[#This Row],[Final_Risk_Score]]&gt;=$E$3,"Medium","Low"))</f>
        <v>Low</v>
      </c>
    </row>
    <row r="179" spans="1:3">
      <c r="A179" t="str">
        <f>tbl_Data2[[#This Row],[Customer_ID]]</f>
        <v>CUST-178</v>
      </c>
      <c r="B179">
        <f>tbl_Data2[[#This Row],[Final_Risk_Score]]</f>
        <v>4.3</v>
      </c>
      <c r="C179" t="str">
        <f>IF(tbl_threshold[[#This Row],[Final_Risk_Score]]&gt;=$E$2,"High",
IF(tbl_threshold[[#This Row],[Final_Risk_Score]]&gt;=$E$3,"Medium","Low"))</f>
        <v>Low</v>
      </c>
    </row>
    <row r="180" spans="1:3">
      <c r="A180" t="str">
        <f>tbl_Data2[[#This Row],[Customer_ID]]</f>
        <v>CUST-179</v>
      </c>
      <c r="B180">
        <f>tbl_Data2[[#This Row],[Final_Risk_Score]]</f>
        <v>4</v>
      </c>
      <c r="C180" t="str">
        <f>IF(tbl_threshold[[#This Row],[Final_Risk_Score]]&gt;=$E$2,"High",
IF(tbl_threshold[[#This Row],[Final_Risk_Score]]&gt;=$E$3,"Medium","Low"))</f>
        <v>Low</v>
      </c>
    </row>
    <row r="181" spans="1:3">
      <c r="A181" t="str">
        <f>tbl_Data2[[#This Row],[Customer_ID]]</f>
        <v>CUST-180</v>
      </c>
      <c r="B181">
        <f>tbl_Data2[[#This Row],[Final_Risk_Score]]</f>
        <v>8.9</v>
      </c>
      <c r="C181" t="str">
        <f>IF(tbl_threshold[[#This Row],[Final_Risk_Score]]&gt;=$E$2,"High",
IF(tbl_threshold[[#This Row],[Final_Risk_Score]]&gt;=$E$3,"Medium","Low"))</f>
        <v>High</v>
      </c>
    </row>
    <row r="182" spans="1:3">
      <c r="A182" t="str">
        <f>tbl_Data2[[#This Row],[Customer_ID]]</f>
        <v>CUST-181</v>
      </c>
      <c r="B182">
        <f>tbl_Data2[[#This Row],[Final_Risk_Score]]</f>
        <v>8.6999999999999993</v>
      </c>
      <c r="C182" t="str">
        <f>IF(tbl_threshold[[#This Row],[Final_Risk_Score]]&gt;=$E$2,"High",
IF(tbl_threshold[[#This Row],[Final_Risk_Score]]&gt;=$E$3,"Medium","Low"))</f>
        <v>High</v>
      </c>
    </row>
    <row r="183" spans="1:3">
      <c r="A183" t="str">
        <f>tbl_Data2[[#This Row],[Customer_ID]]</f>
        <v>CUST-182</v>
      </c>
      <c r="B183">
        <f>tbl_Data2[[#This Row],[Final_Risk_Score]]</f>
        <v>6.5</v>
      </c>
      <c r="C183" t="str">
        <f>IF(tbl_threshold[[#This Row],[Final_Risk_Score]]&gt;=$E$2,"High",
IF(tbl_threshold[[#This Row],[Final_Risk_Score]]&gt;=$E$3,"Medium","Low"))</f>
        <v>Medium</v>
      </c>
    </row>
    <row r="184" spans="1:3">
      <c r="A184" t="str">
        <f>tbl_Data2[[#This Row],[Customer_ID]]</f>
        <v>CUST-183</v>
      </c>
      <c r="B184">
        <f>tbl_Data2[[#This Row],[Final_Risk_Score]]</f>
        <v>6.2</v>
      </c>
      <c r="C184" t="str">
        <f>IF(tbl_threshold[[#This Row],[Final_Risk_Score]]&gt;=$E$2,"High",
IF(tbl_threshold[[#This Row],[Final_Risk_Score]]&gt;=$E$3,"Medium","Low"))</f>
        <v>Medium</v>
      </c>
    </row>
    <row r="185" spans="1:3">
      <c r="A185" t="str">
        <f>tbl_Data2[[#This Row],[Customer_ID]]</f>
        <v>CUST-184</v>
      </c>
      <c r="B185">
        <f>tbl_Data2[[#This Row],[Final_Risk_Score]]</f>
        <v>8.1</v>
      </c>
      <c r="C185" t="str">
        <f>IF(tbl_threshold[[#This Row],[Final_Risk_Score]]&gt;=$E$2,"High",
IF(tbl_threshold[[#This Row],[Final_Risk_Score]]&gt;=$E$3,"Medium","Low"))</f>
        <v>High</v>
      </c>
    </row>
    <row r="186" spans="1:3">
      <c r="A186" t="str">
        <f>tbl_Data2[[#This Row],[Customer_ID]]</f>
        <v>CUST-185</v>
      </c>
      <c r="B186">
        <f>tbl_Data2[[#This Row],[Final_Risk_Score]]</f>
        <v>7</v>
      </c>
      <c r="C186" t="str">
        <f>IF(tbl_threshold[[#This Row],[Final_Risk_Score]]&gt;=$E$2,"High",
IF(tbl_threshold[[#This Row],[Final_Risk_Score]]&gt;=$E$3,"Medium","Low"))</f>
        <v>Medium</v>
      </c>
    </row>
    <row r="187" spans="1:3">
      <c r="A187" t="str">
        <f>tbl_Data2[[#This Row],[Customer_ID]]</f>
        <v>CUST-186</v>
      </c>
      <c r="B187">
        <f>tbl_Data2[[#This Row],[Final_Risk_Score]]</f>
        <v>5.9</v>
      </c>
      <c r="C187" t="str">
        <f>IF(tbl_threshold[[#This Row],[Final_Risk_Score]]&gt;=$E$2,"High",
IF(tbl_threshold[[#This Row],[Final_Risk_Score]]&gt;=$E$3,"Medium","Low"))</f>
        <v>Medium</v>
      </c>
    </row>
    <row r="188" spans="1:3">
      <c r="A188" t="str">
        <f>tbl_Data2[[#This Row],[Customer_ID]]</f>
        <v>CUST-187</v>
      </c>
      <c r="B188">
        <f>tbl_Data2[[#This Row],[Final_Risk_Score]]</f>
        <v>5.3</v>
      </c>
      <c r="C188" t="str">
        <f>IF(tbl_threshold[[#This Row],[Final_Risk_Score]]&gt;=$E$2,"High",
IF(tbl_threshold[[#This Row],[Final_Risk_Score]]&gt;=$E$3,"Medium","Low"))</f>
        <v>Low</v>
      </c>
    </row>
    <row r="189" spans="1:3">
      <c r="A189" t="str">
        <f>tbl_Data2[[#This Row],[Customer_ID]]</f>
        <v>CUST-188</v>
      </c>
      <c r="B189">
        <f>tbl_Data2[[#This Row],[Final_Risk_Score]]</f>
        <v>7.7</v>
      </c>
      <c r="C189" t="str">
        <f>IF(tbl_threshold[[#This Row],[Final_Risk_Score]]&gt;=$E$2,"High",
IF(tbl_threshold[[#This Row],[Final_Risk_Score]]&gt;=$E$3,"Medium","Low"))</f>
        <v>High</v>
      </c>
    </row>
    <row r="190" spans="1:3">
      <c r="A190" t="str">
        <f>tbl_Data2[[#This Row],[Customer_ID]]</f>
        <v>CUST-189</v>
      </c>
      <c r="B190">
        <f>tbl_Data2[[#This Row],[Final_Risk_Score]]</f>
        <v>5.8</v>
      </c>
      <c r="C190" t="str">
        <f>IF(tbl_threshold[[#This Row],[Final_Risk_Score]]&gt;=$E$2,"High",
IF(tbl_threshold[[#This Row],[Final_Risk_Score]]&gt;=$E$3,"Medium","Low"))</f>
        <v>Medium</v>
      </c>
    </row>
    <row r="191" spans="1:3">
      <c r="A191" t="str">
        <f>tbl_Data2[[#This Row],[Customer_ID]]</f>
        <v>CUST-190</v>
      </c>
      <c r="B191">
        <f>tbl_Data2[[#This Row],[Final_Risk_Score]]</f>
        <v>7.6</v>
      </c>
      <c r="C191" t="str">
        <f>IF(tbl_threshold[[#This Row],[Final_Risk_Score]]&gt;=$E$2,"High",
IF(tbl_threshold[[#This Row],[Final_Risk_Score]]&gt;=$E$3,"Medium","Low"))</f>
        <v>High</v>
      </c>
    </row>
    <row r="192" spans="1:3">
      <c r="A192" t="str">
        <f>tbl_Data2[[#This Row],[Customer_ID]]</f>
        <v>CUST-191</v>
      </c>
      <c r="B192">
        <f>tbl_Data2[[#This Row],[Final_Risk_Score]]</f>
        <v>8.1999999999999993</v>
      </c>
      <c r="C192" t="str">
        <f>IF(tbl_threshold[[#This Row],[Final_Risk_Score]]&gt;=$E$2,"High",
IF(tbl_threshold[[#This Row],[Final_Risk_Score]]&gt;=$E$3,"Medium","Low"))</f>
        <v>High</v>
      </c>
    </row>
    <row r="193" spans="1:3">
      <c r="A193" t="str">
        <f>tbl_Data2[[#This Row],[Customer_ID]]</f>
        <v>CUST-192</v>
      </c>
      <c r="B193">
        <f>tbl_Data2[[#This Row],[Final_Risk_Score]]</f>
        <v>6.7</v>
      </c>
      <c r="C193" t="str">
        <f>IF(tbl_threshold[[#This Row],[Final_Risk_Score]]&gt;=$E$2,"High",
IF(tbl_threshold[[#This Row],[Final_Risk_Score]]&gt;=$E$3,"Medium","Low"))</f>
        <v>Medium</v>
      </c>
    </row>
    <row r="194" spans="1:3">
      <c r="A194" t="str">
        <f>tbl_Data2[[#This Row],[Customer_ID]]</f>
        <v>CUST-193</v>
      </c>
      <c r="B194">
        <f>tbl_Data2[[#This Row],[Final_Risk_Score]]</f>
        <v>4.8</v>
      </c>
      <c r="C194" t="str">
        <f>IF(tbl_threshold[[#This Row],[Final_Risk_Score]]&gt;=$E$2,"High",
IF(tbl_threshold[[#This Row],[Final_Risk_Score]]&gt;=$E$3,"Medium","Low"))</f>
        <v>Low</v>
      </c>
    </row>
    <row r="195" spans="1:3">
      <c r="A195" t="str">
        <f>tbl_Data2[[#This Row],[Customer_ID]]</f>
        <v>CUST-194</v>
      </c>
      <c r="B195">
        <f>tbl_Data2[[#This Row],[Final_Risk_Score]]</f>
        <v>6.7</v>
      </c>
      <c r="C195" t="str">
        <f>IF(tbl_threshold[[#This Row],[Final_Risk_Score]]&gt;=$E$2,"High",
IF(tbl_threshold[[#This Row],[Final_Risk_Score]]&gt;=$E$3,"Medium","Low"))</f>
        <v>Medium</v>
      </c>
    </row>
    <row r="196" spans="1:3">
      <c r="A196" t="str">
        <f>tbl_Data2[[#This Row],[Customer_ID]]</f>
        <v>CUST-195</v>
      </c>
      <c r="B196">
        <f>tbl_Data2[[#This Row],[Final_Risk_Score]]</f>
        <v>3.8</v>
      </c>
      <c r="C196" t="str">
        <f>IF(tbl_threshold[[#This Row],[Final_Risk_Score]]&gt;=$E$2,"High",
IF(tbl_threshold[[#This Row],[Final_Risk_Score]]&gt;=$E$3,"Medium","Low"))</f>
        <v>Low</v>
      </c>
    </row>
    <row r="197" spans="1:3">
      <c r="A197" t="str">
        <f>tbl_Data2[[#This Row],[Customer_ID]]</f>
        <v>CUST-196</v>
      </c>
      <c r="B197">
        <f>tbl_Data2[[#This Row],[Final_Risk_Score]]</f>
        <v>8.1</v>
      </c>
      <c r="C197" t="str">
        <f>IF(tbl_threshold[[#This Row],[Final_Risk_Score]]&gt;=$E$2,"High",
IF(tbl_threshold[[#This Row],[Final_Risk_Score]]&gt;=$E$3,"Medium","Low"))</f>
        <v>High</v>
      </c>
    </row>
    <row r="198" spans="1:3">
      <c r="A198" t="str">
        <f>tbl_Data2[[#This Row],[Customer_ID]]</f>
        <v>CUST-197</v>
      </c>
      <c r="B198">
        <f>tbl_Data2[[#This Row],[Final_Risk_Score]]</f>
        <v>6.7</v>
      </c>
      <c r="C198" t="str">
        <f>IF(tbl_threshold[[#This Row],[Final_Risk_Score]]&gt;=$E$2,"High",
IF(tbl_threshold[[#This Row],[Final_Risk_Score]]&gt;=$E$3,"Medium","Low"))</f>
        <v>Medium</v>
      </c>
    </row>
    <row r="199" spans="1:3">
      <c r="A199" t="str">
        <f>tbl_Data2[[#This Row],[Customer_ID]]</f>
        <v>CUST-198</v>
      </c>
      <c r="B199">
        <f>tbl_Data2[[#This Row],[Final_Risk_Score]]</f>
        <v>5.3</v>
      </c>
      <c r="C199" t="str">
        <f>IF(tbl_threshold[[#This Row],[Final_Risk_Score]]&gt;=$E$2,"High",
IF(tbl_threshold[[#This Row],[Final_Risk_Score]]&gt;=$E$3,"Medium","Low"))</f>
        <v>Low</v>
      </c>
    </row>
    <row r="200" spans="1:3">
      <c r="A200" t="str">
        <f>tbl_Data2[[#This Row],[Customer_ID]]</f>
        <v>CUST-199</v>
      </c>
      <c r="B200">
        <f>tbl_Data2[[#This Row],[Final_Risk_Score]]</f>
        <v>6.2</v>
      </c>
      <c r="C200" t="str">
        <f>IF(tbl_threshold[[#This Row],[Final_Risk_Score]]&gt;=$E$2,"High",
IF(tbl_threshold[[#This Row],[Final_Risk_Score]]&gt;=$E$3,"Medium","Low"))</f>
        <v>Medium</v>
      </c>
    </row>
    <row r="201" spans="1:3">
      <c r="A201" t="str">
        <f>tbl_Data2[[#This Row],[Customer_ID]]</f>
        <v>CUST-200</v>
      </c>
      <c r="B201">
        <f>tbl_Data2[[#This Row],[Final_Risk_Score]]</f>
        <v>8.1</v>
      </c>
      <c r="C201" t="str">
        <f>IF(tbl_threshold[[#This Row],[Final_Risk_Score]]&gt;=$E$2,"High",
IF(tbl_threshold[[#This Row],[Final_Risk_Score]]&gt;=$E$3,"Medium","Low"))</f>
        <v>High</v>
      </c>
    </row>
    <row r="202" spans="1:3">
      <c r="A202" t="str">
        <f>tbl_Data2[[#This Row],[Customer_ID]]</f>
        <v>CUST-201</v>
      </c>
      <c r="B202">
        <f>tbl_Data2[[#This Row],[Final_Risk_Score]]</f>
        <v>3.3</v>
      </c>
      <c r="C202" t="str">
        <f>IF(tbl_threshold[[#This Row],[Final_Risk_Score]]&gt;=$E$2,"High",
IF(tbl_threshold[[#This Row],[Final_Risk_Score]]&gt;=$E$3,"Medium","Low"))</f>
        <v>Low</v>
      </c>
    </row>
    <row r="203" spans="1:3">
      <c r="A203" t="str">
        <f>tbl_Data2[[#This Row],[Customer_ID]]</f>
        <v>CUST-202</v>
      </c>
      <c r="B203">
        <f>tbl_Data2[[#This Row],[Final_Risk_Score]]</f>
        <v>6</v>
      </c>
      <c r="C203" t="str">
        <f>IF(tbl_threshold[[#This Row],[Final_Risk_Score]]&gt;=$E$2,"High",
IF(tbl_threshold[[#This Row],[Final_Risk_Score]]&gt;=$E$3,"Medium","Low"))</f>
        <v>Medium</v>
      </c>
    </row>
    <row r="204" spans="1:3">
      <c r="A204" t="str">
        <f>tbl_Data2[[#This Row],[Customer_ID]]</f>
        <v>CUST-203</v>
      </c>
      <c r="B204">
        <f>tbl_Data2[[#This Row],[Final_Risk_Score]]</f>
        <v>5.8</v>
      </c>
      <c r="C204" t="str">
        <f>IF(tbl_threshold[[#This Row],[Final_Risk_Score]]&gt;=$E$2,"High",
IF(tbl_threshold[[#This Row],[Final_Risk_Score]]&gt;=$E$3,"Medium","Low"))</f>
        <v>Medium</v>
      </c>
    </row>
    <row r="205" spans="1:3">
      <c r="A205" t="str">
        <f>tbl_Data2[[#This Row],[Customer_ID]]</f>
        <v>CUST-204</v>
      </c>
      <c r="B205">
        <f>tbl_Data2[[#This Row],[Final_Risk_Score]]</f>
        <v>3.8</v>
      </c>
      <c r="C205" t="str">
        <f>IF(tbl_threshold[[#This Row],[Final_Risk_Score]]&gt;=$E$2,"High",
IF(tbl_threshold[[#This Row],[Final_Risk_Score]]&gt;=$E$3,"Medium","Low"))</f>
        <v>Low</v>
      </c>
    </row>
    <row r="206" spans="1:3">
      <c r="A206" t="str">
        <f>tbl_Data2[[#This Row],[Customer_ID]]</f>
        <v>CUST-205</v>
      </c>
      <c r="B206">
        <f>tbl_Data2[[#This Row],[Final_Risk_Score]]</f>
        <v>5.7</v>
      </c>
      <c r="C206" t="str">
        <f>IF(tbl_threshold[[#This Row],[Final_Risk_Score]]&gt;=$E$2,"High",
IF(tbl_threshold[[#This Row],[Final_Risk_Score]]&gt;=$E$3,"Medium","Low"))</f>
        <v>Medium</v>
      </c>
    </row>
    <row r="207" spans="1:3">
      <c r="A207" t="str">
        <f>tbl_Data2[[#This Row],[Customer_ID]]</f>
        <v>CUST-206</v>
      </c>
      <c r="B207">
        <f>tbl_Data2[[#This Row],[Final_Risk_Score]]</f>
        <v>7.2</v>
      </c>
      <c r="C207" t="str">
        <f>IF(tbl_threshold[[#This Row],[Final_Risk_Score]]&gt;=$E$2,"High",
IF(tbl_threshold[[#This Row],[Final_Risk_Score]]&gt;=$E$3,"Medium","Low"))</f>
        <v>Medium</v>
      </c>
    </row>
    <row r="208" spans="1:3">
      <c r="A208" t="str">
        <f>tbl_Data2[[#This Row],[Customer_ID]]</f>
        <v>CUST-207</v>
      </c>
      <c r="B208">
        <f>tbl_Data2[[#This Row],[Final_Risk_Score]]</f>
        <v>8.1</v>
      </c>
      <c r="C208" t="str">
        <f>IF(tbl_threshold[[#This Row],[Final_Risk_Score]]&gt;=$E$2,"High",
IF(tbl_threshold[[#This Row],[Final_Risk_Score]]&gt;=$E$3,"Medium","Low"))</f>
        <v>High</v>
      </c>
    </row>
    <row r="209" spans="1:3">
      <c r="A209" t="str">
        <f>tbl_Data2[[#This Row],[Customer_ID]]</f>
        <v>CUST-208</v>
      </c>
      <c r="B209">
        <f>tbl_Data2[[#This Row],[Final_Risk_Score]]</f>
        <v>4.3</v>
      </c>
      <c r="C209" t="str">
        <f>IF(tbl_threshold[[#This Row],[Final_Risk_Score]]&gt;=$E$2,"High",
IF(tbl_threshold[[#This Row],[Final_Risk_Score]]&gt;=$E$3,"Medium","Low"))</f>
        <v>Low</v>
      </c>
    </row>
    <row r="210" spans="1:3">
      <c r="A210" t="str">
        <f>tbl_Data2[[#This Row],[Customer_ID]]</f>
        <v>CUST-209</v>
      </c>
      <c r="B210">
        <f>tbl_Data2[[#This Row],[Final_Risk_Score]]</f>
        <v>6</v>
      </c>
      <c r="C210" t="str">
        <f>IF(tbl_threshold[[#This Row],[Final_Risk_Score]]&gt;=$E$2,"High",
IF(tbl_threshold[[#This Row],[Final_Risk_Score]]&gt;=$E$3,"Medium","Low"))</f>
        <v>Medium</v>
      </c>
    </row>
    <row r="211" spans="1:3">
      <c r="A211" t="str">
        <f>tbl_Data2[[#This Row],[Customer_ID]]</f>
        <v>CUST-210</v>
      </c>
      <c r="B211">
        <f>tbl_Data2[[#This Row],[Final_Risk_Score]]</f>
        <v>5.3</v>
      </c>
      <c r="C211" t="str">
        <f>IF(tbl_threshold[[#This Row],[Final_Risk_Score]]&gt;=$E$2,"High",
IF(tbl_threshold[[#This Row],[Final_Risk_Score]]&gt;=$E$3,"Medium","Low"))</f>
        <v>Low</v>
      </c>
    </row>
    <row r="212" spans="1:3">
      <c r="A212" t="str">
        <f>tbl_Data2[[#This Row],[Customer_ID]]</f>
        <v>CUST-211</v>
      </c>
      <c r="B212">
        <f>tbl_Data2[[#This Row],[Final_Risk_Score]]</f>
        <v>8.1</v>
      </c>
      <c r="C212" t="str">
        <f>IF(tbl_threshold[[#This Row],[Final_Risk_Score]]&gt;=$E$2,"High",
IF(tbl_threshold[[#This Row],[Final_Risk_Score]]&gt;=$E$3,"Medium","Low"))</f>
        <v>High</v>
      </c>
    </row>
    <row r="213" spans="1:3">
      <c r="A213" t="str">
        <f>tbl_Data2[[#This Row],[Customer_ID]]</f>
        <v>CUST-212</v>
      </c>
      <c r="B213">
        <f>tbl_Data2[[#This Row],[Final_Risk_Score]]</f>
        <v>7.1</v>
      </c>
      <c r="C213" t="str">
        <f>IF(tbl_threshold[[#This Row],[Final_Risk_Score]]&gt;=$E$2,"High",
IF(tbl_threshold[[#This Row],[Final_Risk_Score]]&gt;=$E$3,"Medium","Low"))</f>
        <v>Medium</v>
      </c>
    </row>
    <row r="214" spans="1:3">
      <c r="A214" t="str">
        <f>tbl_Data2[[#This Row],[Customer_ID]]</f>
        <v>CUST-213</v>
      </c>
      <c r="B214">
        <f>tbl_Data2[[#This Row],[Final_Risk_Score]]</f>
        <v>7.1</v>
      </c>
      <c r="C214" t="str">
        <f>IF(tbl_threshold[[#This Row],[Final_Risk_Score]]&gt;=$E$2,"High",
IF(tbl_threshold[[#This Row],[Final_Risk_Score]]&gt;=$E$3,"Medium","Low"))</f>
        <v>Medium</v>
      </c>
    </row>
    <row r="215" spans="1:3">
      <c r="A215" t="str">
        <f>tbl_Data2[[#This Row],[Customer_ID]]</f>
        <v>CUST-214</v>
      </c>
      <c r="B215">
        <f>tbl_Data2[[#This Row],[Final_Risk_Score]]</f>
        <v>7.6</v>
      </c>
      <c r="C215" t="str">
        <f>IF(tbl_threshold[[#This Row],[Final_Risk_Score]]&gt;=$E$2,"High",
IF(tbl_threshold[[#This Row],[Final_Risk_Score]]&gt;=$E$3,"Medium","Low"))</f>
        <v>High</v>
      </c>
    </row>
    <row r="216" spans="1:3">
      <c r="A216" t="str">
        <f>tbl_Data2[[#This Row],[Customer_ID]]</f>
        <v>CUST-215</v>
      </c>
      <c r="B216">
        <f>tbl_Data2[[#This Row],[Final_Risk_Score]]</f>
        <v>4.5</v>
      </c>
      <c r="C216" t="str">
        <f>IF(tbl_threshold[[#This Row],[Final_Risk_Score]]&gt;=$E$2,"High",
IF(tbl_threshold[[#This Row],[Final_Risk_Score]]&gt;=$E$3,"Medium","Low"))</f>
        <v>Low</v>
      </c>
    </row>
    <row r="217" spans="1:3">
      <c r="A217" t="str">
        <f>tbl_Data2[[#This Row],[Customer_ID]]</f>
        <v>CUST-216</v>
      </c>
      <c r="B217">
        <f>tbl_Data2[[#This Row],[Final_Risk_Score]]</f>
        <v>6.3</v>
      </c>
      <c r="C217" t="str">
        <f>IF(tbl_threshold[[#This Row],[Final_Risk_Score]]&gt;=$E$2,"High",
IF(tbl_threshold[[#This Row],[Final_Risk_Score]]&gt;=$E$3,"Medium","Low"))</f>
        <v>Medium</v>
      </c>
    </row>
    <row r="218" spans="1:3">
      <c r="A218" t="str">
        <f>tbl_Data2[[#This Row],[Customer_ID]]</f>
        <v>CUST-217</v>
      </c>
      <c r="B218">
        <f>tbl_Data2[[#This Row],[Final_Risk_Score]]</f>
        <v>6.4</v>
      </c>
      <c r="C218" t="str">
        <f>IF(tbl_threshold[[#This Row],[Final_Risk_Score]]&gt;=$E$2,"High",
IF(tbl_threshold[[#This Row],[Final_Risk_Score]]&gt;=$E$3,"Medium","Low"))</f>
        <v>Medium</v>
      </c>
    </row>
    <row r="219" spans="1:3">
      <c r="A219" t="str">
        <f>tbl_Data2[[#This Row],[Customer_ID]]</f>
        <v>CUST-218</v>
      </c>
      <c r="B219">
        <f>tbl_Data2[[#This Row],[Final_Risk_Score]]</f>
        <v>7.4</v>
      </c>
      <c r="C219" t="str">
        <f>IF(tbl_threshold[[#This Row],[Final_Risk_Score]]&gt;=$E$2,"High",
IF(tbl_threshold[[#This Row],[Final_Risk_Score]]&gt;=$E$3,"Medium","Low"))</f>
        <v>Medium</v>
      </c>
    </row>
    <row r="220" spans="1:3">
      <c r="A220" t="str">
        <f>tbl_Data2[[#This Row],[Customer_ID]]</f>
        <v>CUST-219</v>
      </c>
      <c r="B220">
        <f>tbl_Data2[[#This Row],[Final_Risk_Score]]</f>
        <v>8.1</v>
      </c>
      <c r="C220" t="str">
        <f>IF(tbl_threshold[[#This Row],[Final_Risk_Score]]&gt;=$E$2,"High",
IF(tbl_threshold[[#This Row],[Final_Risk_Score]]&gt;=$E$3,"Medium","Low"))</f>
        <v>High</v>
      </c>
    </row>
    <row r="221" spans="1:3">
      <c r="A221" t="str">
        <f>tbl_Data2[[#This Row],[Customer_ID]]</f>
        <v>CUST-220</v>
      </c>
      <c r="B221">
        <f>tbl_Data2[[#This Row],[Final_Risk_Score]]</f>
        <v>7.4</v>
      </c>
      <c r="C221" t="str">
        <f>IF(tbl_threshold[[#This Row],[Final_Risk_Score]]&gt;=$E$2,"High",
IF(tbl_threshold[[#This Row],[Final_Risk_Score]]&gt;=$E$3,"Medium","Low"))</f>
        <v>Medium</v>
      </c>
    </row>
    <row r="222" spans="1:3">
      <c r="A222" t="str">
        <f>tbl_Data2[[#This Row],[Customer_ID]]</f>
        <v>CUST-221</v>
      </c>
      <c r="B222">
        <f>tbl_Data2[[#This Row],[Final_Risk_Score]]</f>
        <v>6.6</v>
      </c>
      <c r="C222" t="str">
        <f>IF(tbl_threshold[[#This Row],[Final_Risk_Score]]&gt;=$E$2,"High",
IF(tbl_threshold[[#This Row],[Final_Risk_Score]]&gt;=$E$3,"Medium","Low"))</f>
        <v>Medium</v>
      </c>
    </row>
    <row r="223" spans="1:3">
      <c r="A223" t="str">
        <f>tbl_Data2[[#This Row],[Customer_ID]]</f>
        <v>CUST-222</v>
      </c>
      <c r="B223">
        <f>tbl_Data2[[#This Row],[Final_Risk_Score]]</f>
        <v>6.4</v>
      </c>
      <c r="C223" t="str">
        <f>IF(tbl_threshold[[#This Row],[Final_Risk_Score]]&gt;=$E$2,"High",
IF(tbl_threshold[[#This Row],[Final_Risk_Score]]&gt;=$E$3,"Medium","Low"))</f>
        <v>Medium</v>
      </c>
    </row>
    <row r="224" spans="1:3">
      <c r="A224" t="str">
        <f>tbl_Data2[[#This Row],[Customer_ID]]</f>
        <v>CUST-223</v>
      </c>
      <c r="B224">
        <f>tbl_Data2[[#This Row],[Final_Risk_Score]]</f>
        <v>6.4</v>
      </c>
      <c r="C224" t="str">
        <f>IF(tbl_threshold[[#This Row],[Final_Risk_Score]]&gt;=$E$2,"High",
IF(tbl_threshold[[#This Row],[Final_Risk_Score]]&gt;=$E$3,"Medium","Low"))</f>
        <v>Medium</v>
      </c>
    </row>
    <row r="225" spans="1:3">
      <c r="A225" t="str">
        <f>tbl_Data2[[#This Row],[Customer_ID]]</f>
        <v>CUST-224</v>
      </c>
      <c r="B225">
        <f>tbl_Data2[[#This Row],[Final_Risk_Score]]</f>
        <v>7.5</v>
      </c>
      <c r="C225" t="str">
        <f>IF(tbl_threshold[[#This Row],[Final_Risk_Score]]&gt;=$E$2,"High",
IF(tbl_threshold[[#This Row],[Final_Risk_Score]]&gt;=$E$3,"Medium","Low"))</f>
        <v>High</v>
      </c>
    </row>
    <row r="226" spans="1:3">
      <c r="A226" t="str">
        <f>tbl_Data2[[#This Row],[Customer_ID]]</f>
        <v>CUST-225</v>
      </c>
      <c r="B226">
        <f>tbl_Data2[[#This Row],[Final_Risk_Score]]</f>
        <v>4.8</v>
      </c>
      <c r="C226" t="str">
        <f>IF(tbl_threshold[[#This Row],[Final_Risk_Score]]&gt;=$E$2,"High",
IF(tbl_threshold[[#This Row],[Final_Risk_Score]]&gt;=$E$3,"Medium","Low"))</f>
        <v>Low</v>
      </c>
    </row>
    <row r="227" spans="1:3">
      <c r="A227" t="str">
        <f>tbl_Data2[[#This Row],[Customer_ID]]</f>
        <v>CUST-226</v>
      </c>
      <c r="B227">
        <f>tbl_Data2[[#This Row],[Final_Risk_Score]]</f>
        <v>6.9</v>
      </c>
      <c r="C227" t="str">
        <f>IF(tbl_threshold[[#This Row],[Final_Risk_Score]]&gt;=$E$2,"High",
IF(tbl_threshold[[#This Row],[Final_Risk_Score]]&gt;=$E$3,"Medium","Low"))</f>
        <v>Medium</v>
      </c>
    </row>
    <row r="228" spans="1:3">
      <c r="A228" t="str">
        <f>tbl_Data2[[#This Row],[Customer_ID]]</f>
        <v>CUST-227</v>
      </c>
      <c r="B228">
        <f>tbl_Data2[[#This Row],[Final_Risk_Score]]</f>
        <v>4.3</v>
      </c>
      <c r="C228" t="str">
        <f>IF(tbl_threshold[[#This Row],[Final_Risk_Score]]&gt;=$E$2,"High",
IF(tbl_threshold[[#This Row],[Final_Risk_Score]]&gt;=$E$3,"Medium","Low"))</f>
        <v>Low</v>
      </c>
    </row>
    <row r="229" spans="1:3">
      <c r="A229" t="str">
        <f>tbl_Data2[[#This Row],[Customer_ID]]</f>
        <v>CUST-228</v>
      </c>
      <c r="B229">
        <f>tbl_Data2[[#This Row],[Final_Risk_Score]]</f>
        <v>5.5</v>
      </c>
      <c r="C229" t="str">
        <f>IF(tbl_threshold[[#This Row],[Final_Risk_Score]]&gt;=$E$2,"High",
IF(tbl_threshold[[#This Row],[Final_Risk_Score]]&gt;=$E$3,"Medium","Low"))</f>
        <v>Medium</v>
      </c>
    </row>
    <row r="230" spans="1:3">
      <c r="A230" t="str">
        <f>tbl_Data2[[#This Row],[Customer_ID]]</f>
        <v>CUST-229</v>
      </c>
      <c r="B230">
        <f>tbl_Data2[[#This Row],[Final_Risk_Score]]</f>
        <v>6.3</v>
      </c>
      <c r="C230" t="str">
        <f>IF(tbl_threshold[[#This Row],[Final_Risk_Score]]&gt;=$E$2,"High",
IF(tbl_threshold[[#This Row],[Final_Risk_Score]]&gt;=$E$3,"Medium","Low"))</f>
        <v>Medium</v>
      </c>
    </row>
    <row r="231" spans="1:3">
      <c r="A231" t="str">
        <f>tbl_Data2[[#This Row],[Customer_ID]]</f>
        <v>CUST-230</v>
      </c>
      <c r="B231">
        <f>tbl_Data2[[#This Row],[Final_Risk_Score]]</f>
        <v>8.1</v>
      </c>
      <c r="C231" t="str">
        <f>IF(tbl_threshold[[#This Row],[Final_Risk_Score]]&gt;=$E$2,"High",
IF(tbl_threshold[[#This Row],[Final_Risk_Score]]&gt;=$E$3,"Medium","Low"))</f>
        <v>High</v>
      </c>
    </row>
    <row r="232" spans="1:3">
      <c r="A232" t="str">
        <f>tbl_Data2[[#This Row],[Customer_ID]]</f>
        <v>CUST-231</v>
      </c>
      <c r="B232">
        <f>tbl_Data2[[#This Row],[Final_Risk_Score]]</f>
        <v>6</v>
      </c>
      <c r="C232" t="str">
        <f>IF(tbl_threshold[[#This Row],[Final_Risk_Score]]&gt;=$E$2,"High",
IF(tbl_threshold[[#This Row],[Final_Risk_Score]]&gt;=$E$3,"Medium","Low"))</f>
        <v>Medium</v>
      </c>
    </row>
    <row r="233" spans="1:3">
      <c r="A233" t="str">
        <f>tbl_Data2[[#This Row],[Customer_ID]]</f>
        <v>CUST-232</v>
      </c>
      <c r="B233">
        <f>tbl_Data2[[#This Row],[Final_Risk_Score]]</f>
        <v>7.7</v>
      </c>
      <c r="C233" t="str">
        <f>IF(tbl_threshold[[#This Row],[Final_Risk_Score]]&gt;=$E$2,"High",
IF(tbl_threshold[[#This Row],[Final_Risk_Score]]&gt;=$E$3,"Medium","Low"))</f>
        <v>High</v>
      </c>
    </row>
    <row r="234" spans="1:3">
      <c r="A234" t="str">
        <f>tbl_Data2[[#This Row],[Customer_ID]]</f>
        <v>CUST-233</v>
      </c>
      <c r="B234">
        <f>tbl_Data2[[#This Row],[Final_Risk_Score]]</f>
        <v>8.6999999999999993</v>
      </c>
      <c r="C234" t="str">
        <f>IF(tbl_threshold[[#This Row],[Final_Risk_Score]]&gt;=$E$2,"High",
IF(tbl_threshold[[#This Row],[Final_Risk_Score]]&gt;=$E$3,"Medium","Low"))</f>
        <v>High</v>
      </c>
    </row>
    <row r="235" spans="1:3">
      <c r="A235" t="str">
        <f>tbl_Data2[[#This Row],[Customer_ID]]</f>
        <v>CUST-234</v>
      </c>
      <c r="B235">
        <f>tbl_Data2[[#This Row],[Final_Risk_Score]]</f>
        <v>8.5</v>
      </c>
      <c r="C235" t="str">
        <f>IF(tbl_threshold[[#This Row],[Final_Risk_Score]]&gt;=$E$2,"High",
IF(tbl_threshold[[#This Row],[Final_Risk_Score]]&gt;=$E$3,"Medium","Low"))</f>
        <v>High</v>
      </c>
    </row>
    <row r="236" spans="1:3">
      <c r="A236" t="str">
        <f>tbl_Data2[[#This Row],[Customer_ID]]</f>
        <v>CUST-235</v>
      </c>
      <c r="B236">
        <f>tbl_Data2[[#This Row],[Final_Risk_Score]]</f>
        <v>4.9000000000000004</v>
      </c>
      <c r="C236" t="str">
        <f>IF(tbl_threshold[[#This Row],[Final_Risk_Score]]&gt;=$E$2,"High",
IF(tbl_threshold[[#This Row],[Final_Risk_Score]]&gt;=$E$3,"Medium","Low"))</f>
        <v>Low</v>
      </c>
    </row>
    <row r="237" spans="1:3">
      <c r="A237" t="str">
        <f>tbl_Data2[[#This Row],[Customer_ID]]</f>
        <v>CUST-236</v>
      </c>
      <c r="B237">
        <f>tbl_Data2[[#This Row],[Final_Risk_Score]]</f>
        <v>5.8</v>
      </c>
      <c r="C237" t="str">
        <f>IF(tbl_threshold[[#This Row],[Final_Risk_Score]]&gt;=$E$2,"High",
IF(tbl_threshold[[#This Row],[Final_Risk_Score]]&gt;=$E$3,"Medium","Low"))</f>
        <v>Medium</v>
      </c>
    </row>
    <row r="238" spans="1:3">
      <c r="A238" t="str">
        <f>tbl_Data2[[#This Row],[Customer_ID]]</f>
        <v>CUST-237</v>
      </c>
      <c r="B238">
        <f>tbl_Data2[[#This Row],[Final_Risk_Score]]</f>
        <v>7.5</v>
      </c>
      <c r="C238" t="str">
        <f>IF(tbl_threshold[[#This Row],[Final_Risk_Score]]&gt;=$E$2,"High",
IF(tbl_threshold[[#This Row],[Final_Risk_Score]]&gt;=$E$3,"Medium","Low"))</f>
        <v>High</v>
      </c>
    </row>
    <row r="239" spans="1:3">
      <c r="A239" t="str">
        <f>tbl_Data2[[#This Row],[Customer_ID]]</f>
        <v>CUST-238</v>
      </c>
      <c r="B239">
        <f>tbl_Data2[[#This Row],[Final_Risk_Score]]</f>
        <v>4.3</v>
      </c>
      <c r="C239" t="str">
        <f>IF(tbl_threshold[[#This Row],[Final_Risk_Score]]&gt;=$E$2,"High",
IF(tbl_threshold[[#This Row],[Final_Risk_Score]]&gt;=$E$3,"Medium","Low"))</f>
        <v>Low</v>
      </c>
    </row>
    <row r="240" spans="1:3">
      <c r="A240" t="str">
        <f>tbl_Data2[[#This Row],[Customer_ID]]</f>
        <v>CUST-239</v>
      </c>
      <c r="B240">
        <f>tbl_Data2[[#This Row],[Final_Risk_Score]]</f>
        <v>8.8000000000000007</v>
      </c>
      <c r="C240" t="str">
        <f>IF(tbl_threshold[[#This Row],[Final_Risk_Score]]&gt;=$E$2,"High",
IF(tbl_threshold[[#This Row],[Final_Risk_Score]]&gt;=$E$3,"Medium","Low"))</f>
        <v>High</v>
      </c>
    </row>
    <row r="241" spans="1:3">
      <c r="A241" t="str">
        <f>tbl_Data2[[#This Row],[Customer_ID]]</f>
        <v>CUST-240</v>
      </c>
      <c r="B241">
        <f>tbl_Data2[[#This Row],[Final_Risk_Score]]</f>
        <v>7.1</v>
      </c>
      <c r="C241" t="str">
        <f>IF(tbl_threshold[[#This Row],[Final_Risk_Score]]&gt;=$E$2,"High",
IF(tbl_threshold[[#This Row],[Final_Risk_Score]]&gt;=$E$3,"Medium","Low"))</f>
        <v>Medium</v>
      </c>
    </row>
    <row r="242" spans="1:3">
      <c r="A242" t="str">
        <f>tbl_Data2[[#This Row],[Customer_ID]]</f>
        <v>CUST-241</v>
      </c>
      <c r="B242">
        <f>tbl_Data2[[#This Row],[Final_Risk_Score]]</f>
        <v>6.5</v>
      </c>
      <c r="C242" t="str">
        <f>IF(tbl_threshold[[#This Row],[Final_Risk_Score]]&gt;=$E$2,"High",
IF(tbl_threshold[[#This Row],[Final_Risk_Score]]&gt;=$E$3,"Medium","Low"))</f>
        <v>Medium</v>
      </c>
    </row>
    <row r="243" spans="1:3">
      <c r="A243" t="str">
        <f>tbl_Data2[[#This Row],[Customer_ID]]</f>
        <v>CUST-242</v>
      </c>
      <c r="B243">
        <f>tbl_Data2[[#This Row],[Final_Risk_Score]]</f>
        <v>5.9</v>
      </c>
      <c r="C243" t="str">
        <f>IF(tbl_threshold[[#This Row],[Final_Risk_Score]]&gt;=$E$2,"High",
IF(tbl_threshold[[#This Row],[Final_Risk_Score]]&gt;=$E$3,"Medium","Low"))</f>
        <v>Medium</v>
      </c>
    </row>
    <row r="244" spans="1:3">
      <c r="A244" t="str">
        <f>tbl_Data2[[#This Row],[Customer_ID]]</f>
        <v>CUST-243</v>
      </c>
      <c r="B244">
        <f>tbl_Data2[[#This Row],[Final_Risk_Score]]</f>
        <v>8.6999999999999993</v>
      </c>
      <c r="C244" t="str">
        <f>IF(tbl_threshold[[#This Row],[Final_Risk_Score]]&gt;=$E$2,"High",
IF(tbl_threshold[[#This Row],[Final_Risk_Score]]&gt;=$E$3,"Medium","Low"))</f>
        <v>High</v>
      </c>
    </row>
    <row r="245" spans="1:3">
      <c r="A245" t="str">
        <f>tbl_Data2[[#This Row],[Customer_ID]]</f>
        <v>CUST-244</v>
      </c>
      <c r="B245">
        <f>tbl_Data2[[#This Row],[Final_Risk_Score]]</f>
        <v>8.6999999999999993</v>
      </c>
      <c r="C245" t="str">
        <f>IF(tbl_threshold[[#This Row],[Final_Risk_Score]]&gt;=$E$2,"High",
IF(tbl_threshold[[#This Row],[Final_Risk_Score]]&gt;=$E$3,"Medium","Low"))</f>
        <v>High</v>
      </c>
    </row>
    <row r="246" spans="1:3">
      <c r="A246" t="str">
        <f>tbl_Data2[[#This Row],[Customer_ID]]</f>
        <v>CUST-245</v>
      </c>
      <c r="B246">
        <f>tbl_Data2[[#This Row],[Final_Risk_Score]]</f>
        <v>5.7</v>
      </c>
      <c r="C246" t="str">
        <f>IF(tbl_threshold[[#This Row],[Final_Risk_Score]]&gt;=$E$2,"High",
IF(tbl_threshold[[#This Row],[Final_Risk_Score]]&gt;=$E$3,"Medium","Low"))</f>
        <v>Medium</v>
      </c>
    </row>
    <row r="247" spans="1:3">
      <c r="A247" t="str">
        <f>tbl_Data2[[#This Row],[Customer_ID]]</f>
        <v>CUST-246</v>
      </c>
      <c r="B247">
        <f>tbl_Data2[[#This Row],[Final_Risk_Score]]</f>
        <v>5.9</v>
      </c>
      <c r="C247" t="str">
        <f>IF(tbl_threshold[[#This Row],[Final_Risk_Score]]&gt;=$E$2,"High",
IF(tbl_threshold[[#This Row],[Final_Risk_Score]]&gt;=$E$3,"Medium","Low"))</f>
        <v>Medium</v>
      </c>
    </row>
    <row r="248" spans="1:3">
      <c r="A248" t="str">
        <f>tbl_Data2[[#This Row],[Customer_ID]]</f>
        <v>CUST-247</v>
      </c>
      <c r="B248">
        <f>tbl_Data2[[#This Row],[Final_Risk_Score]]</f>
        <v>5</v>
      </c>
      <c r="C248" t="str">
        <f>IF(tbl_threshold[[#This Row],[Final_Risk_Score]]&gt;=$E$2,"High",
IF(tbl_threshold[[#This Row],[Final_Risk_Score]]&gt;=$E$3,"Medium","Low"))</f>
        <v>Low</v>
      </c>
    </row>
    <row r="249" spans="1:3">
      <c r="A249" t="str">
        <f>tbl_Data2[[#This Row],[Customer_ID]]</f>
        <v>CUST-248</v>
      </c>
      <c r="B249">
        <f>tbl_Data2[[#This Row],[Final_Risk_Score]]</f>
        <v>7.7</v>
      </c>
      <c r="C249" t="str">
        <f>IF(tbl_threshold[[#This Row],[Final_Risk_Score]]&gt;=$E$2,"High",
IF(tbl_threshold[[#This Row],[Final_Risk_Score]]&gt;=$E$3,"Medium","Low"))</f>
        <v>High</v>
      </c>
    </row>
    <row r="250" spans="1:3">
      <c r="A250" t="str">
        <f>tbl_Data2[[#This Row],[Customer_ID]]</f>
        <v>CUST-249</v>
      </c>
      <c r="B250">
        <f>tbl_Data2[[#This Row],[Final_Risk_Score]]</f>
        <v>4.2</v>
      </c>
      <c r="C250" t="str">
        <f>IF(tbl_threshold[[#This Row],[Final_Risk_Score]]&gt;=$E$2,"High",
IF(tbl_threshold[[#This Row],[Final_Risk_Score]]&gt;=$E$3,"Medium","Low"))</f>
        <v>Low</v>
      </c>
    </row>
    <row r="251" spans="1:3">
      <c r="A251" t="str">
        <f>tbl_Data2[[#This Row],[Customer_ID]]</f>
        <v>CUST-250</v>
      </c>
      <c r="B251">
        <f>tbl_Data2[[#This Row],[Final_Risk_Score]]</f>
        <v>6</v>
      </c>
      <c r="C251" t="str">
        <f>IF(tbl_threshold[[#This Row],[Final_Risk_Score]]&gt;=$E$2,"High",
IF(tbl_threshold[[#This Row],[Final_Risk_Score]]&gt;=$E$3,"Medium","Low"))</f>
        <v>Medium</v>
      </c>
    </row>
    <row r="252" spans="1:3">
      <c r="A252" t="str">
        <f>tbl_Data2[[#This Row],[Customer_ID]]</f>
        <v>CUST-251</v>
      </c>
      <c r="B252">
        <f>tbl_Data2[[#This Row],[Final_Risk_Score]]</f>
        <v>4.8</v>
      </c>
      <c r="C252" t="str">
        <f>IF(tbl_threshold[[#This Row],[Final_Risk_Score]]&gt;=$E$2,"High",
IF(tbl_threshold[[#This Row],[Final_Risk_Score]]&gt;=$E$3,"Medium","Low"))</f>
        <v>Low</v>
      </c>
    </row>
    <row r="253" spans="1:3">
      <c r="A253" t="str">
        <f>tbl_Data2[[#This Row],[Customer_ID]]</f>
        <v>CUST-252</v>
      </c>
      <c r="B253">
        <f>tbl_Data2[[#This Row],[Final_Risk_Score]]</f>
        <v>5.2</v>
      </c>
      <c r="C253" t="str">
        <f>IF(tbl_threshold[[#This Row],[Final_Risk_Score]]&gt;=$E$2,"High",
IF(tbl_threshold[[#This Row],[Final_Risk_Score]]&gt;=$E$3,"Medium","Low"))</f>
        <v>Low</v>
      </c>
    </row>
    <row r="254" spans="1:3">
      <c r="A254" t="str">
        <f>tbl_Data2[[#This Row],[Customer_ID]]</f>
        <v>CUST-253</v>
      </c>
      <c r="B254">
        <f>tbl_Data2[[#This Row],[Final_Risk_Score]]</f>
        <v>6.2</v>
      </c>
      <c r="C254" t="str">
        <f>IF(tbl_threshold[[#This Row],[Final_Risk_Score]]&gt;=$E$2,"High",
IF(tbl_threshold[[#This Row],[Final_Risk_Score]]&gt;=$E$3,"Medium","Low"))</f>
        <v>Medium</v>
      </c>
    </row>
    <row r="255" spans="1:3">
      <c r="A255" t="str">
        <f>tbl_Data2[[#This Row],[Customer_ID]]</f>
        <v>CUST-254</v>
      </c>
      <c r="B255">
        <f>tbl_Data2[[#This Row],[Final_Risk_Score]]</f>
        <v>7.3</v>
      </c>
      <c r="C255" t="str">
        <f>IF(tbl_threshold[[#This Row],[Final_Risk_Score]]&gt;=$E$2,"High",
IF(tbl_threshold[[#This Row],[Final_Risk_Score]]&gt;=$E$3,"Medium","Low"))</f>
        <v>Medium</v>
      </c>
    </row>
    <row r="256" spans="1:3">
      <c r="A256" t="str">
        <f>tbl_Data2[[#This Row],[Customer_ID]]</f>
        <v>CUST-255</v>
      </c>
      <c r="B256">
        <f>tbl_Data2[[#This Row],[Final_Risk_Score]]</f>
        <v>7</v>
      </c>
      <c r="C256" t="str">
        <f>IF(tbl_threshold[[#This Row],[Final_Risk_Score]]&gt;=$E$2,"High",
IF(tbl_threshold[[#This Row],[Final_Risk_Score]]&gt;=$E$3,"Medium","Low"))</f>
        <v>Medium</v>
      </c>
    </row>
    <row r="257" spans="1:3">
      <c r="A257" t="str">
        <f>tbl_Data2[[#This Row],[Customer_ID]]</f>
        <v>CUST-256</v>
      </c>
      <c r="B257">
        <f>tbl_Data2[[#This Row],[Final_Risk_Score]]</f>
        <v>5.3</v>
      </c>
      <c r="C257" t="str">
        <f>IF(tbl_threshold[[#This Row],[Final_Risk_Score]]&gt;=$E$2,"High",
IF(tbl_threshold[[#This Row],[Final_Risk_Score]]&gt;=$E$3,"Medium","Low"))</f>
        <v>Low</v>
      </c>
    </row>
    <row r="258" spans="1:3">
      <c r="A258" t="str">
        <f>tbl_Data2[[#This Row],[Customer_ID]]</f>
        <v>CUST-257</v>
      </c>
      <c r="B258">
        <f>tbl_Data2[[#This Row],[Final_Risk_Score]]</f>
        <v>4.8</v>
      </c>
      <c r="C258" t="str">
        <f>IF(tbl_threshold[[#This Row],[Final_Risk_Score]]&gt;=$E$2,"High",
IF(tbl_threshold[[#This Row],[Final_Risk_Score]]&gt;=$E$3,"Medium","Low"))</f>
        <v>Low</v>
      </c>
    </row>
    <row r="259" spans="1:3">
      <c r="A259" t="str">
        <f>tbl_Data2[[#This Row],[Customer_ID]]</f>
        <v>CUST-258</v>
      </c>
      <c r="B259">
        <f>tbl_Data2[[#This Row],[Final_Risk_Score]]</f>
        <v>7.1</v>
      </c>
      <c r="C259" t="str">
        <f>IF(tbl_threshold[[#This Row],[Final_Risk_Score]]&gt;=$E$2,"High",
IF(tbl_threshold[[#This Row],[Final_Risk_Score]]&gt;=$E$3,"Medium","Low"))</f>
        <v>Medium</v>
      </c>
    </row>
    <row r="260" spans="1:3">
      <c r="A260" t="str">
        <f>tbl_Data2[[#This Row],[Customer_ID]]</f>
        <v>CUST-259</v>
      </c>
      <c r="B260">
        <f>tbl_Data2[[#This Row],[Final_Risk_Score]]</f>
        <v>7</v>
      </c>
      <c r="C260" t="str">
        <f>IF(tbl_threshold[[#This Row],[Final_Risk_Score]]&gt;=$E$2,"High",
IF(tbl_threshold[[#This Row],[Final_Risk_Score]]&gt;=$E$3,"Medium","Low"))</f>
        <v>Medium</v>
      </c>
    </row>
    <row r="261" spans="1:3">
      <c r="A261" t="str">
        <f>tbl_Data2[[#This Row],[Customer_ID]]</f>
        <v>CUST-260</v>
      </c>
      <c r="B261">
        <f>tbl_Data2[[#This Row],[Final_Risk_Score]]</f>
        <v>7.5</v>
      </c>
      <c r="C261" t="str">
        <f>IF(tbl_threshold[[#This Row],[Final_Risk_Score]]&gt;=$E$2,"High",
IF(tbl_threshold[[#This Row],[Final_Risk_Score]]&gt;=$E$3,"Medium","Low"))</f>
        <v>High</v>
      </c>
    </row>
    <row r="262" spans="1:3">
      <c r="A262" t="str">
        <f>tbl_Data2[[#This Row],[Customer_ID]]</f>
        <v>CUST-261</v>
      </c>
      <c r="B262">
        <f>tbl_Data2[[#This Row],[Final_Risk_Score]]</f>
        <v>6.8</v>
      </c>
      <c r="C262" t="str">
        <f>IF(tbl_threshold[[#This Row],[Final_Risk_Score]]&gt;=$E$2,"High",
IF(tbl_threshold[[#This Row],[Final_Risk_Score]]&gt;=$E$3,"Medium","Low"))</f>
        <v>Medium</v>
      </c>
    </row>
    <row r="263" spans="1:3">
      <c r="A263" t="str">
        <f>tbl_Data2[[#This Row],[Customer_ID]]</f>
        <v>CUST-262</v>
      </c>
      <c r="B263">
        <f>tbl_Data2[[#This Row],[Final_Risk_Score]]</f>
        <v>7.4</v>
      </c>
      <c r="C263" t="str">
        <f>IF(tbl_threshold[[#This Row],[Final_Risk_Score]]&gt;=$E$2,"High",
IF(tbl_threshold[[#This Row],[Final_Risk_Score]]&gt;=$E$3,"Medium","Low"))</f>
        <v>Medium</v>
      </c>
    </row>
    <row r="264" spans="1:3">
      <c r="A264" t="str">
        <f>tbl_Data2[[#This Row],[Customer_ID]]</f>
        <v>CUST-263</v>
      </c>
      <c r="B264">
        <f>tbl_Data2[[#This Row],[Final_Risk_Score]]</f>
        <v>7</v>
      </c>
      <c r="C264" t="str">
        <f>IF(tbl_threshold[[#This Row],[Final_Risk_Score]]&gt;=$E$2,"High",
IF(tbl_threshold[[#This Row],[Final_Risk_Score]]&gt;=$E$3,"Medium","Low"))</f>
        <v>Medium</v>
      </c>
    </row>
    <row r="265" spans="1:3">
      <c r="A265" t="str">
        <f>tbl_Data2[[#This Row],[Customer_ID]]</f>
        <v>CUST-264</v>
      </c>
      <c r="B265">
        <f>tbl_Data2[[#This Row],[Final_Risk_Score]]</f>
        <v>6</v>
      </c>
      <c r="C265" t="str">
        <f>IF(tbl_threshold[[#This Row],[Final_Risk_Score]]&gt;=$E$2,"High",
IF(tbl_threshold[[#This Row],[Final_Risk_Score]]&gt;=$E$3,"Medium","Low"))</f>
        <v>Medium</v>
      </c>
    </row>
    <row r="266" spans="1:3">
      <c r="A266" t="str">
        <f>tbl_Data2[[#This Row],[Customer_ID]]</f>
        <v>CUST-265</v>
      </c>
      <c r="B266">
        <f>tbl_Data2[[#This Row],[Final_Risk_Score]]</f>
        <v>7.6</v>
      </c>
      <c r="C266" t="str">
        <f>IF(tbl_threshold[[#This Row],[Final_Risk_Score]]&gt;=$E$2,"High",
IF(tbl_threshold[[#This Row],[Final_Risk_Score]]&gt;=$E$3,"Medium","Low"))</f>
        <v>High</v>
      </c>
    </row>
    <row r="267" spans="1:3">
      <c r="A267" t="str">
        <f>tbl_Data2[[#This Row],[Customer_ID]]</f>
        <v>CUST-266</v>
      </c>
      <c r="B267">
        <f>tbl_Data2[[#This Row],[Final_Risk_Score]]</f>
        <v>7.1</v>
      </c>
      <c r="C267" t="str">
        <f>IF(tbl_threshold[[#This Row],[Final_Risk_Score]]&gt;=$E$2,"High",
IF(tbl_threshold[[#This Row],[Final_Risk_Score]]&gt;=$E$3,"Medium","Low"))</f>
        <v>Medium</v>
      </c>
    </row>
    <row r="268" spans="1:3">
      <c r="A268" t="str">
        <f>tbl_Data2[[#This Row],[Customer_ID]]</f>
        <v>CUST-267</v>
      </c>
      <c r="B268">
        <f>tbl_Data2[[#This Row],[Final_Risk_Score]]</f>
        <v>7</v>
      </c>
      <c r="C268" t="str">
        <f>IF(tbl_threshold[[#This Row],[Final_Risk_Score]]&gt;=$E$2,"High",
IF(tbl_threshold[[#This Row],[Final_Risk_Score]]&gt;=$E$3,"Medium","Low"))</f>
        <v>Medium</v>
      </c>
    </row>
    <row r="269" spans="1:3">
      <c r="A269" t="str">
        <f>tbl_Data2[[#This Row],[Customer_ID]]</f>
        <v>CUST-268</v>
      </c>
      <c r="B269">
        <f>tbl_Data2[[#This Row],[Final_Risk_Score]]</f>
        <v>6.4</v>
      </c>
      <c r="C269" t="str">
        <f>IF(tbl_threshold[[#This Row],[Final_Risk_Score]]&gt;=$E$2,"High",
IF(tbl_threshold[[#This Row],[Final_Risk_Score]]&gt;=$E$3,"Medium","Low"))</f>
        <v>Medium</v>
      </c>
    </row>
    <row r="270" spans="1:3">
      <c r="A270" t="str">
        <f>tbl_Data2[[#This Row],[Customer_ID]]</f>
        <v>CUST-269</v>
      </c>
      <c r="B270">
        <f>tbl_Data2[[#This Row],[Final_Risk_Score]]</f>
        <v>7.4</v>
      </c>
      <c r="C270" t="str">
        <f>IF(tbl_threshold[[#This Row],[Final_Risk_Score]]&gt;=$E$2,"High",
IF(tbl_threshold[[#This Row],[Final_Risk_Score]]&gt;=$E$3,"Medium","Low"))</f>
        <v>Medium</v>
      </c>
    </row>
    <row r="271" spans="1:3">
      <c r="A271" t="str">
        <f>tbl_Data2[[#This Row],[Customer_ID]]</f>
        <v>CUST-270</v>
      </c>
      <c r="B271">
        <f>tbl_Data2[[#This Row],[Final_Risk_Score]]</f>
        <v>4.8</v>
      </c>
      <c r="C271" t="str">
        <f>IF(tbl_threshold[[#This Row],[Final_Risk_Score]]&gt;=$E$2,"High",
IF(tbl_threshold[[#This Row],[Final_Risk_Score]]&gt;=$E$3,"Medium","Low"))</f>
        <v>Low</v>
      </c>
    </row>
    <row r="272" spans="1:3">
      <c r="A272" t="str">
        <f>tbl_Data2[[#This Row],[Customer_ID]]</f>
        <v>CUST-271</v>
      </c>
      <c r="B272">
        <f>tbl_Data2[[#This Row],[Final_Risk_Score]]</f>
        <v>8.1</v>
      </c>
      <c r="C272" t="str">
        <f>IF(tbl_threshold[[#This Row],[Final_Risk_Score]]&gt;=$E$2,"High",
IF(tbl_threshold[[#This Row],[Final_Risk_Score]]&gt;=$E$3,"Medium","Low"))</f>
        <v>High</v>
      </c>
    </row>
    <row r="273" spans="1:3">
      <c r="A273" t="str">
        <f>tbl_Data2[[#This Row],[Customer_ID]]</f>
        <v>CUST-272</v>
      </c>
      <c r="B273">
        <f>tbl_Data2[[#This Row],[Final_Risk_Score]]</f>
        <v>7.4</v>
      </c>
      <c r="C273" t="str">
        <f>IF(tbl_threshold[[#This Row],[Final_Risk_Score]]&gt;=$E$2,"High",
IF(tbl_threshold[[#This Row],[Final_Risk_Score]]&gt;=$E$3,"Medium","Low"))</f>
        <v>Medium</v>
      </c>
    </row>
    <row r="274" spans="1:3">
      <c r="A274" t="str">
        <f>tbl_Data2[[#This Row],[Customer_ID]]</f>
        <v>CUST-273</v>
      </c>
      <c r="B274">
        <f>tbl_Data2[[#This Row],[Final_Risk_Score]]</f>
        <v>9.3000000000000007</v>
      </c>
      <c r="C274" t="str">
        <f>IF(tbl_threshold[[#This Row],[Final_Risk_Score]]&gt;=$E$2,"High",
IF(tbl_threshold[[#This Row],[Final_Risk_Score]]&gt;=$E$3,"Medium","Low"))</f>
        <v>High</v>
      </c>
    </row>
    <row r="275" spans="1:3">
      <c r="A275" t="str">
        <f>tbl_Data2[[#This Row],[Customer_ID]]</f>
        <v>CUST-274</v>
      </c>
      <c r="B275">
        <f>tbl_Data2[[#This Row],[Final_Risk_Score]]</f>
        <v>6.5</v>
      </c>
      <c r="C275" t="str">
        <f>IF(tbl_threshold[[#This Row],[Final_Risk_Score]]&gt;=$E$2,"High",
IF(tbl_threshold[[#This Row],[Final_Risk_Score]]&gt;=$E$3,"Medium","Low"))</f>
        <v>Medium</v>
      </c>
    </row>
    <row r="276" spans="1:3">
      <c r="A276" t="str">
        <f>tbl_Data2[[#This Row],[Customer_ID]]</f>
        <v>CUST-275</v>
      </c>
      <c r="B276">
        <f>tbl_Data2[[#This Row],[Final_Risk_Score]]</f>
        <v>7.6</v>
      </c>
      <c r="C276" t="str">
        <f>IF(tbl_threshold[[#This Row],[Final_Risk_Score]]&gt;=$E$2,"High",
IF(tbl_threshold[[#This Row],[Final_Risk_Score]]&gt;=$E$3,"Medium","Low"))</f>
        <v>High</v>
      </c>
    </row>
    <row r="277" spans="1:3">
      <c r="A277" t="str">
        <f>tbl_Data2[[#This Row],[Customer_ID]]</f>
        <v>CUST-276</v>
      </c>
      <c r="B277">
        <f>tbl_Data2[[#This Row],[Final_Risk_Score]]</f>
        <v>6.4</v>
      </c>
      <c r="C277" t="str">
        <f>IF(tbl_threshold[[#This Row],[Final_Risk_Score]]&gt;=$E$2,"High",
IF(tbl_threshold[[#This Row],[Final_Risk_Score]]&gt;=$E$3,"Medium","Low"))</f>
        <v>Medium</v>
      </c>
    </row>
    <row r="278" spans="1:3">
      <c r="A278" t="str">
        <f>tbl_Data2[[#This Row],[Customer_ID]]</f>
        <v>CUST-277</v>
      </c>
      <c r="B278">
        <f>tbl_Data2[[#This Row],[Final_Risk_Score]]</f>
        <v>8.1</v>
      </c>
      <c r="C278" t="str">
        <f>IF(tbl_threshold[[#This Row],[Final_Risk_Score]]&gt;=$E$2,"High",
IF(tbl_threshold[[#This Row],[Final_Risk_Score]]&gt;=$E$3,"Medium","Low"))</f>
        <v>High</v>
      </c>
    </row>
    <row r="279" spans="1:3">
      <c r="A279" t="str">
        <f>tbl_Data2[[#This Row],[Customer_ID]]</f>
        <v>CUST-278</v>
      </c>
      <c r="B279">
        <f>tbl_Data2[[#This Row],[Final_Risk_Score]]</f>
        <v>8.1</v>
      </c>
      <c r="C279" t="str">
        <f>IF(tbl_threshold[[#This Row],[Final_Risk_Score]]&gt;=$E$2,"High",
IF(tbl_threshold[[#This Row],[Final_Risk_Score]]&gt;=$E$3,"Medium","Low"))</f>
        <v>High</v>
      </c>
    </row>
    <row r="280" spans="1:3">
      <c r="A280" t="str">
        <f>tbl_Data2[[#This Row],[Customer_ID]]</f>
        <v>CUST-279</v>
      </c>
      <c r="B280">
        <f>tbl_Data2[[#This Row],[Final_Risk_Score]]</f>
        <v>3.6</v>
      </c>
      <c r="C280" t="str">
        <f>IF(tbl_threshold[[#This Row],[Final_Risk_Score]]&gt;=$E$2,"High",
IF(tbl_threshold[[#This Row],[Final_Risk_Score]]&gt;=$E$3,"Medium","Low"))</f>
        <v>Low</v>
      </c>
    </row>
    <row r="281" spans="1:3">
      <c r="A281" t="str">
        <f>tbl_Data2[[#This Row],[Customer_ID]]</f>
        <v>CUST-280</v>
      </c>
      <c r="B281">
        <f>tbl_Data2[[#This Row],[Final_Risk_Score]]</f>
        <v>5.9</v>
      </c>
      <c r="C281" t="str">
        <f>IF(tbl_threshold[[#This Row],[Final_Risk_Score]]&gt;=$E$2,"High",
IF(tbl_threshold[[#This Row],[Final_Risk_Score]]&gt;=$E$3,"Medium","Low"))</f>
        <v>Medium</v>
      </c>
    </row>
    <row r="282" spans="1:3">
      <c r="A282" t="str">
        <f>tbl_Data2[[#This Row],[Customer_ID]]</f>
        <v>CUST-281</v>
      </c>
      <c r="B282">
        <f>tbl_Data2[[#This Row],[Final_Risk_Score]]</f>
        <v>6.9</v>
      </c>
      <c r="C282" t="str">
        <f>IF(tbl_threshold[[#This Row],[Final_Risk_Score]]&gt;=$E$2,"High",
IF(tbl_threshold[[#This Row],[Final_Risk_Score]]&gt;=$E$3,"Medium","Low"))</f>
        <v>Medium</v>
      </c>
    </row>
    <row r="283" spans="1:3">
      <c r="A283" t="str">
        <f>tbl_Data2[[#This Row],[Customer_ID]]</f>
        <v>CUST-282</v>
      </c>
      <c r="B283">
        <f>tbl_Data2[[#This Row],[Final_Risk_Score]]</f>
        <v>4.9000000000000004</v>
      </c>
      <c r="C283" t="str">
        <f>IF(tbl_threshold[[#This Row],[Final_Risk_Score]]&gt;=$E$2,"High",
IF(tbl_threshold[[#This Row],[Final_Risk_Score]]&gt;=$E$3,"Medium","Low"))</f>
        <v>Low</v>
      </c>
    </row>
    <row r="284" spans="1:3">
      <c r="A284" t="str">
        <f>tbl_Data2[[#This Row],[Customer_ID]]</f>
        <v>CUST-283</v>
      </c>
      <c r="B284">
        <f>tbl_Data2[[#This Row],[Final_Risk_Score]]</f>
        <v>6.3</v>
      </c>
      <c r="C284" t="str">
        <f>IF(tbl_threshold[[#This Row],[Final_Risk_Score]]&gt;=$E$2,"High",
IF(tbl_threshold[[#This Row],[Final_Risk_Score]]&gt;=$E$3,"Medium","Low"))</f>
        <v>Medium</v>
      </c>
    </row>
    <row r="285" spans="1:3">
      <c r="A285" t="str">
        <f>tbl_Data2[[#This Row],[Customer_ID]]</f>
        <v>CUST-284</v>
      </c>
      <c r="B285">
        <f>tbl_Data2[[#This Row],[Final_Risk_Score]]</f>
        <v>7.6</v>
      </c>
      <c r="C285" t="str">
        <f>IF(tbl_threshold[[#This Row],[Final_Risk_Score]]&gt;=$E$2,"High",
IF(tbl_threshold[[#This Row],[Final_Risk_Score]]&gt;=$E$3,"Medium","Low"))</f>
        <v>High</v>
      </c>
    </row>
    <row r="286" spans="1:3">
      <c r="A286" t="str">
        <f>tbl_Data2[[#This Row],[Customer_ID]]</f>
        <v>CUST-285</v>
      </c>
      <c r="B286">
        <f>tbl_Data2[[#This Row],[Final_Risk_Score]]</f>
        <v>6.5</v>
      </c>
      <c r="C286" t="str">
        <f>IF(tbl_threshold[[#This Row],[Final_Risk_Score]]&gt;=$E$2,"High",
IF(tbl_threshold[[#This Row],[Final_Risk_Score]]&gt;=$E$3,"Medium","Low"))</f>
        <v>Medium</v>
      </c>
    </row>
    <row r="287" spans="1:3">
      <c r="A287" t="str">
        <f>tbl_Data2[[#This Row],[Customer_ID]]</f>
        <v>CUST-286</v>
      </c>
      <c r="B287">
        <f>tbl_Data2[[#This Row],[Final_Risk_Score]]</f>
        <v>6</v>
      </c>
      <c r="C287" t="str">
        <f>IF(tbl_threshold[[#This Row],[Final_Risk_Score]]&gt;=$E$2,"High",
IF(tbl_threshold[[#This Row],[Final_Risk_Score]]&gt;=$E$3,"Medium","Low"))</f>
        <v>Medium</v>
      </c>
    </row>
    <row r="288" spans="1:3">
      <c r="A288" t="str">
        <f>tbl_Data2[[#This Row],[Customer_ID]]</f>
        <v>CUST-287</v>
      </c>
      <c r="B288">
        <f>tbl_Data2[[#This Row],[Final_Risk_Score]]</f>
        <v>5.2</v>
      </c>
      <c r="C288" t="str">
        <f>IF(tbl_threshold[[#This Row],[Final_Risk_Score]]&gt;=$E$2,"High",
IF(tbl_threshold[[#This Row],[Final_Risk_Score]]&gt;=$E$3,"Medium","Low"))</f>
        <v>Low</v>
      </c>
    </row>
    <row r="289" spans="1:3">
      <c r="A289" t="str">
        <f>tbl_Data2[[#This Row],[Customer_ID]]</f>
        <v>CUST-288</v>
      </c>
      <c r="B289">
        <f>tbl_Data2[[#This Row],[Final_Risk_Score]]</f>
        <v>8.8000000000000007</v>
      </c>
      <c r="C289" t="str">
        <f>IF(tbl_threshold[[#This Row],[Final_Risk_Score]]&gt;=$E$2,"High",
IF(tbl_threshold[[#This Row],[Final_Risk_Score]]&gt;=$E$3,"Medium","Low"))</f>
        <v>High</v>
      </c>
    </row>
    <row r="290" spans="1:3">
      <c r="A290" t="str">
        <f>tbl_Data2[[#This Row],[Customer_ID]]</f>
        <v>CUST-289</v>
      </c>
      <c r="B290">
        <f>tbl_Data2[[#This Row],[Final_Risk_Score]]</f>
        <v>5.5</v>
      </c>
      <c r="C290" t="str">
        <f>IF(tbl_threshold[[#This Row],[Final_Risk_Score]]&gt;=$E$2,"High",
IF(tbl_threshold[[#This Row],[Final_Risk_Score]]&gt;=$E$3,"Medium","Low"))</f>
        <v>Medium</v>
      </c>
    </row>
    <row r="291" spans="1:3">
      <c r="A291" t="str">
        <f>tbl_Data2[[#This Row],[Customer_ID]]</f>
        <v>CUST-290</v>
      </c>
      <c r="B291">
        <f>tbl_Data2[[#This Row],[Final_Risk_Score]]</f>
        <v>6.9</v>
      </c>
      <c r="C291" t="str">
        <f>IF(tbl_threshold[[#This Row],[Final_Risk_Score]]&gt;=$E$2,"High",
IF(tbl_threshold[[#This Row],[Final_Risk_Score]]&gt;=$E$3,"Medium","Low"))</f>
        <v>Medium</v>
      </c>
    </row>
    <row r="292" spans="1:3">
      <c r="A292" t="str">
        <f>tbl_Data2[[#This Row],[Customer_ID]]</f>
        <v>CUST-291</v>
      </c>
      <c r="B292">
        <f>tbl_Data2[[#This Row],[Final_Risk_Score]]</f>
        <v>4.7</v>
      </c>
      <c r="C292" t="str">
        <f>IF(tbl_threshold[[#This Row],[Final_Risk_Score]]&gt;=$E$2,"High",
IF(tbl_threshold[[#This Row],[Final_Risk_Score]]&gt;=$E$3,"Medium","Low"))</f>
        <v>Low</v>
      </c>
    </row>
    <row r="293" spans="1:3">
      <c r="A293" t="str">
        <f>tbl_Data2[[#This Row],[Customer_ID]]</f>
        <v>CUST-292</v>
      </c>
      <c r="B293">
        <f>tbl_Data2[[#This Row],[Final_Risk_Score]]</f>
        <v>6.5</v>
      </c>
      <c r="C293" t="str">
        <f>IF(tbl_threshold[[#This Row],[Final_Risk_Score]]&gt;=$E$2,"High",
IF(tbl_threshold[[#This Row],[Final_Risk_Score]]&gt;=$E$3,"Medium","Low"))</f>
        <v>Medium</v>
      </c>
    </row>
    <row r="294" spans="1:3">
      <c r="A294" t="str">
        <f>tbl_Data2[[#This Row],[Customer_ID]]</f>
        <v>CUST-293</v>
      </c>
      <c r="B294">
        <f>tbl_Data2[[#This Row],[Final_Risk_Score]]</f>
        <v>4.2</v>
      </c>
      <c r="C294" t="str">
        <f>IF(tbl_threshold[[#This Row],[Final_Risk_Score]]&gt;=$E$2,"High",
IF(tbl_threshold[[#This Row],[Final_Risk_Score]]&gt;=$E$3,"Medium","Low"))</f>
        <v>Low</v>
      </c>
    </row>
    <row r="295" spans="1:3">
      <c r="A295" t="str">
        <f>tbl_Data2[[#This Row],[Customer_ID]]</f>
        <v>CUST-294</v>
      </c>
      <c r="B295">
        <f>tbl_Data2[[#This Row],[Final_Risk_Score]]</f>
        <v>5.8</v>
      </c>
      <c r="C295" t="str">
        <f>IF(tbl_threshold[[#This Row],[Final_Risk_Score]]&gt;=$E$2,"High",
IF(tbl_threshold[[#This Row],[Final_Risk_Score]]&gt;=$E$3,"Medium","Low"))</f>
        <v>Medium</v>
      </c>
    </row>
    <row r="296" spans="1:3">
      <c r="A296" t="str">
        <f>tbl_Data2[[#This Row],[Customer_ID]]</f>
        <v>CUST-295</v>
      </c>
      <c r="B296">
        <f>tbl_Data2[[#This Row],[Final_Risk_Score]]</f>
        <v>4.7</v>
      </c>
      <c r="C296" t="str">
        <f>IF(tbl_threshold[[#This Row],[Final_Risk_Score]]&gt;=$E$2,"High",
IF(tbl_threshold[[#This Row],[Final_Risk_Score]]&gt;=$E$3,"Medium","Low"))</f>
        <v>Low</v>
      </c>
    </row>
    <row r="297" spans="1:3">
      <c r="A297" t="str">
        <f>tbl_Data2[[#This Row],[Customer_ID]]</f>
        <v>CUST-296</v>
      </c>
      <c r="B297">
        <f>tbl_Data2[[#This Row],[Final_Risk_Score]]</f>
        <v>5.9</v>
      </c>
      <c r="C297" t="str">
        <f>IF(tbl_threshold[[#This Row],[Final_Risk_Score]]&gt;=$E$2,"High",
IF(tbl_threshold[[#This Row],[Final_Risk_Score]]&gt;=$E$3,"Medium","Low"))</f>
        <v>Medium</v>
      </c>
    </row>
    <row r="298" spans="1:3">
      <c r="A298" t="str">
        <f>tbl_Data2[[#This Row],[Customer_ID]]</f>
        <v>CUST-297</v>
      </c>
      <c r="B298">
        <f>tbl_Data2[[#This Row],[Final_Risk_Score]]</f>
        <v>7.1</v>
      </c>
      <c r="C298" t="str">
        <f>IF(tbl_threshold[[#This Row],[Final_Risk_Score]]&gt;=$E$2,"High",
IF(tbl_threshold[[#This Row],[Final_Risk_Score]]&gt;=$E$3,"Medium","Low"))</f>
        <v>Medium</v>
      </c>
    </row>
    <row r="299" spans="1:3">
      <c r="A299" t="str">
        <f>tbl_Data2[[#This Row],[Customer_ID]]</f>
        <v>CUST-298</v>
      </c>
      <c r="B299">
        <f>tbl_Data2[[#This Row],[Final_Risk_Score]]</f>
        <v>8.6999999999999993</v>
      </c>
      <c r="C299" t="str">
        <f>IF(tbl_threshold[[#This Row],[Final_Risk_Score]]&gt;=$E$2,"High",
IF(tbl_threshold[[#This Row],[Final_Risk_Score]]&gt;=$E$3,"Medium","Low"))</f>
        <v>High</v>
      </c>
    </row>
    <row r="300" spans="1:3">
      <c r="A300" t="str">
        <f>tbl_Data2[[#This Row],[Customer_ID]]</f>
        <v>CUST-299</v>
      </c>
      <c r="B300">
        <f>tbl_Data2[[#This Row],[Final_Risk_Score]]</f>
        <v>7.9</v>
      </c>
      <c r="C300" t="str">
        <f>IF(tbl_threshold[[#This Row],[Final_Risk_Score]]&gt;=$E$2,"High",
IF(tbl_threshold[[#This Row],[Final_Risk_Score]]&gt;=$E$3,"Medium","Low"))</f>
        <v>High</v>
      </c>
    </row>
    <row r="301" spans="1:3">
      <c r="A301" t="str">
        <f>tbl_Data2[[#This Row],[Customer_ID]]</f>
        <v>CUST-300</v>
      </c>
      <c r="B301">
        <f>tbl_Data2[[#This Row],[Final_Risk_Score]]</f>
        <v>5.3</v>
      </c>
      <c r="C301" t="str">
        <f>IF(tbl_threshold[[#This Row],[Final_Risk_Score]]&gt;=$E$2,"High",
IF(tbl_threshold[[#This Row],[Final_Risk_Score]]&gt;=$E$3,"Medium","Low"))</f>
        <v>Low</v>
      </c>
    </row>
  </sheetData>
  <mergeCells count="2">
    <mergeCell ref="I3:R10"/>
    <mergeCell ref="D1:E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DBB65-F5B7-49ED-9025-5F1DCBE41887}">
  <dimension ref="A1:P36"/>
  <sheetViews>
    <sheetView showGridLines="0" tabSelected="1" zoomScale="80" zoomScaleNormal="80" workbookViewId="0">
      <selection activeCell="I50" sqref="I50"/>
    </sheetView>
  </sheetViews>
  <sheetFormatPr defaultRowHeight="14.5"/>
  <cols>
    <col min="1" max="9" width="14.6328125" customWidth="1"/>
    <col min="10" max="10" width="17.08984375" customWidth="1"/>
    <col min="11" max="11" width="14.6328125" customWidth="1"/>
    <col min="12" max="14" width="6.81640625" customWidth="1"/>
    <col min="15" max="15" width="29.7265625" bestFit="1" customWidth="1"/>
    <col min="16" max="16" width="4.1796875" bestFit="1" customWidth="1"/>
    <col min="18" max="18" width="7.90625" customWidth="1"/>
    <col min="19" max="19" width="13.08984375" bestFit="1" customWidth="1"/>
    <col min="20" max="20" width="17.26953125" customWidth="1"/>
    <col min="21" max="21" width="16.7265625" bestFit="1" customWidth="1"/>
    <col min="22" max="22" width="21" bestFit="1" customWidth="1"/>
  </cols>
  <sheetData>
    <row r="1" spans="1:16" ht="21">
      <c r="A1" s="18" t="s">
        <v>359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6" ht="23.5">
      <c r="A2" s="19" t="s">
        <v>352</v>
      </c>
      <c r="B2" s="20">
        <f>ROWS(tbl_threshold[Customer_ID])</f>
        <v>300</v>
      </c>
      <c r="C2" s="21"/>
      <c r="D2" s="19" t="s">
        <v>353</v>
      </c>
      <c r="E2" s="20">
        <f>COUNTIF(tbl_threshold[Test_Risk_Tier],"High")</f>
        <v>83</v>
      </c>
      <c r="F2" s="21"/>
      <c r="G2" s="19" t="s">
        <v>354</v>
      </c>
      <c r="H2" s="22">
        <f>E2/B2</f>
        <v>0.27666666666666667</v>
      </c>
      <c r="I2" s="23"/>
      <c r="J2" s="24" t="s">
        <v>355</v>
      </c>
      <c r="K2" s="25">
        <f>Threshhold_Test!E2</f>
        <v>7.5</v>
      </c>
      <c r="L2" s="11"/>
      <c r="M2" s="11"/>
      <c r="N2" s="11"/>
      <c r="O2" s="12" t="s">
        <v>348</v>
      </c>
      <c r="P2" s="12"/>
    </row>
    <row r="3" spans="1:16" ht="23" customHeight="1">
      <c r="A3" s="26" t="s">
        <v>360</v>
      </c>
      <c r="B3" s="26"/>
      <c r="C3" s="26"/>
      <c r="D3" s="26"/>
      <c r="E3" s="26"/>
      <c r="F3" s="26"/>
      <c r="G3" s="26"/>
      <c r="H3" s="26"/>
      <c r="I3" s="26"/>
      <c r="J3" s="26"/>
      <c r="K3" s="26"/>
      <c r="O3" s="12"/>
      <c r="P3" s="12"/>
    </row>
    <row r="4" spans="1:16">
      <c r="O4" s="12" t="s">
        <v>349</v>
      </c>
      <c r="P4" s="12">
        <f>COUNTIF(tbl_threshold[Test_Risk_Tier],"High")</f>
        <v>83</v>
      </c>
    </row>
    <row r="5" spans="1:16">
      <c r="O5" s="12" t="s">
        <v>350</v>
      </c>
      <c r="P5" s="12">
        <f>COUNTIF(tbl_threshold[Test_Risk_Tier],"Medium")</f>
        <v>155</v>
      </c>
    </row>
    <row r="6" spans="1:16">
      <c r="O6" s="12" t="s">
        <v>351</v>
      </c>
      <c r="P6" s="12">
        <f>COUNTIF(tbl_threshold[Test_Risk_Tier],"Low")</f>
        <v>62</v>
      </c>
    </row>
    <row r="7" spans="1:16">
      <c r="O7" s="12" t="s">
        <v>344</v>
      </c>
      <c r="P7" s="12">
        <f>ROWS(tbl_threshold[Customer_ID])</f>
        <v>300</v>
      </c>
    </row>
    <row r="30" spans="1:5" ht="15" thickBot="1"/>
    <row r="31" spans="1:5" ht="18.5" customHeight="1">
      <c r="A31" s="39" t="s">
        <v>361</v>
      </c>
      <c r="B31" s="40"/>
      <c r="C31" s="40"/>
      <c r="D31" s="40"/>
      <c r="E31" s="41"/>
    </row>
    <row r="32" spans="1:5" ht="15" thickBot="1">
      <c r="A32" s="42"/>
      <c r="B32" s="43"/>
      <c r="C32" s="43"/>
      <c r="D32" s="43"/>
      <c r="E32" s="44"/>
    </row>
    <row r="33" spans="1:5" ht="18.5">
      <c r="A33" s="27" t="s">
        <v>362</v>
      </c>
      <c r="B33" s="28" t="s">
        <v>363</v>
      </c>
      <c r="C33" s="28" t="s">
        <v>364</v>
      </c>
      <c r="D33" s="28" t="s">
        <v>365</v>
      </c>
      <c r="E33" s="29" t="s">
        <v>366</v>
      </c>
    </row>
    <row r="34" spans="1:5" ht="18.5">
      <c r="A34" s="30" t="s">
        <v>349</v>
      </c>
      <c r="B34" s="33">
        <f>AVERAGEIF(tbl_Data2[Risk_Tier],"High",tbl_Data2[Velocity_Score])</f>
        <v>8.4216867469879517</v>
      </c>
      <c r="C34" s="33">
        <f>AVERAGEIF(tbl_Data2[Risk_Tier],"High",tbl_Data2[Volume_Score])</f>
        <v>8.8554216867469879</v>
      </c>
      <c r="D34" s="33">
        <f>AVERAGEIF(tbl_Data2[Risk_Tier],"High",tbl_Data2[Deviation_Score])</f>
        <v>7.4216867469879517</v>
      </c>
      <c r="E34" s="34">
        <f>AVERAGEIF(tbl_Data2[Risk_Tier],"High",tbl_Data2[Geo_Score])</f>
        <v>7.7228915662650603</v>
      </c>
    </row>
    <row r="35" spans="1:5" ht="18.5">
      <c r="A35" s="31" t="s">
        <v>350</v>
      </c>
      <c r="B35" s="35">
        <f>AVERAGEIF(tbl_Data2[Risk_Tier],"Medium",tbl_Data2[Velocity_Score])</f>
        <v>7.0580645161290319</v>
      </c>
      <c r="C35" s="35">
        <f>AVERAGEIF(tbl_Data2[Risk_Tier],"Medium",tbl_Data2[Volume_Score])</f>
        <v>7.6387096774193548</v>
      </c>
      <c r="D35" s="35">
        <f>AVERAGEIF(tbl_Data2[Risk_Tier],"Medium",tbl_Data2[Deviation_Score])</f>
        <v>4.5290322580645164</v>
      </c>
      <c r="E35" s="36">
        <f>AVERAGEIF(tbl_Data2[Risk_Tier],"Medium",tbl_Data2[Geo_Score])</f>
        <v>6.8967741935483868</v>
      </c>
    </row>
    <row r="36" spans="1:5" ht="19" thickBot="1">
      <c r="A36" s="32" t="s">
        <v>351</v>
      </c>
      <c r="B36" s="37">
        <f>AVERAGEIF(tbl_Data2[Risk_Tier],"Low",tbl_Data2[Velocity_Score])</f>
        <v>6</v>
      </c>
      <c r="C36" s="37">
        <f>AVERAGEIF(tbl_Data2[Risk_Tier],"Low",tbl_Data2[Volume_Score])</f>
        <v>5.241935483870968</v>
      </c>
      <c r="D36" s="37">
        <f>AVERAGEIF(tbl_Data2[Risk_Tier],"Low",tbl_Data2[Deviation_Score])</f>
        <v>2.5483870967741935</v>
      </c>
      <c r="E36" s="38">
        <f>AVERAGEIF(tbl_Data2[Risk_Tier],"Low",tbl_Data2[Geo_Score])</f>
        <v>4.741935483870968</v>
      </c>
    </row>
  </sheetData>
  <mergeCells count="3">
    <mergeCell ref="A1:K1"/>
    <mergeCell ref="A3:K3"/>
    <mergeCell ref="A31:E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01_Data</vt:lpstr>
      <vt:lpstr>02_Scoring</vt:lpstr>
      <vt:lpstr>Threshhold_Test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Asief Mahmud</dc:creator>
  <cp:lastModifiedBy>Md Asief Mahmud</cp:lastModifiedBy>
  <dcterms:created xsi:type="dcterms:W3CDTF">2015-06-05T18:17:20Z</dcterms:created>
  <dcterms:modified xsi:type="dcterms:W3CDTF">2026-02-03T03:20:38Z</dcterms:modified>
</cp:coreProperties>
</file>