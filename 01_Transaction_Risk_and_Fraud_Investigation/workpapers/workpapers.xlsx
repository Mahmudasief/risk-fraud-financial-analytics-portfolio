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AML\"/>
    </mc:Choice>
  </mc:AlternateContent>
  <xr:revisionPtr revIDLastSave="0" documentId="13_ncr:1_{62E4115B-62BB-4CDD-BD77-7FE292ACB65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01_Raw_Transactions" sheetId="1" r:id="rId1"/>
    <sheet name="02_Analyst_Review" sheetId="3" r:id="rId2"/>
  </sheets>
  <definedNames>
    <definedName name="_xlnm._FilterDatabase" localSheetId="1" hidden="1">'02_Analyst_Review'!$A$1:$M$41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2" i="3"/>
</calcChain>
</file>

<file path=xl/sharedStrings.xml><?xml version="1.0" encoding="utf-8"?>
<sst xmlns="http://schemas.openxmlformats.org/spreadsheetml/2006/main" count="577" uniqueCount="97">
  <si>
    <t>Date</t>
  </si>
  <si>
    <t>Type</t>
  </si>
  <si>
    <t>Amount</t>
  </si>
  <si>
    <t>Direction</t>
  </si>
  <si>
    <t>Counterparty</t>
  </si>
  <si>
    <t>Country</t>
  </si>
  <si>
    <t>Notes</t>
  </si>
  <si>
    <t>Wire</t>
  </si>
  <si>
    <t>In</t>
  </si>
  <si>
    <t>Helion Group Ltd</t>
  </si>
  <si>
    <t>Cyprus</t>
  </si>
  <si>
    <t>No invoice</t>
  </si>
  <si>
    <t>Tigran Import Solutions</t>
  </si>
  <si>
    <t>Armenia</t>
  </si>
  <si>
    <t>No relationship</t>
  </si>
  <si>
    <t>Deniz Trading FZE</t>
  </si>
  <si>
    <t>Turkey</t>
  </si>
  <si>
    <t>High-risk industry</t>
  </si>
  <si>
    <t>Far East Logistics HK</t>
  </si>
  <si>
    <t>Hong Kong</t>
  </si>
  <si>
    <t>No trade docs</t>
  </si>
  <si>
    <t>2nd wire</t>
  </si>
  <si>
    <t>Qamar Global Exports</t>
  </si>
  <si>
    <t>UAE</t>
  </si>
  <si>
    <t>No reason provided</t>
  </si>
  <si>
    <t>Repeated small wires</t>
  </si>
  <si>
    <t>Pattern emerging</t>
  </si>
  <si>
    <t>Araz Industrial LTD</t>
  </si>
  <si>
    <t>Georgia</t>
  </si>
  <si>
    <t>New counterparty</t>
  </si>
  <si>
    <t>Similar amounts</t>
  </si>
  <si>
    <t>No purpose</t>
  </si>
  <si>
    <t>Structuring pattern</t>
  </si>
  <si>
    <t>No documentation</t>
  </si>
  <si>
    <t>High velocity</t>
  </si>
  <si>
    <t>No shipment record</t>
  </si>
  <si>
    <t>High-risk corridor</t>
  </si>
  <si>
    <t>No importer number</t>
  </si>
  <si>
    <t>Round tripping suspected</t>
  </si>
  <si>
    <t>5th total</t>
  </si>
  <si>
    <t>Out</t>
  </si>
  <si>
    <t>Horizon Capital Partners</t>
  </si>
  <si>
    <t>BVI</t>
  </si>
  <si>
    <t>Sent within 12 hours</t>
  </si>
  <si>
    <t>Meridian Holdings Inc</t>
  </si>
  <si>
    <t>Cayman Islands</t>
  </si>
  <si>
    <t>Pass-through</t>
  </si>
  <si>
    <t>Orion Overseas SA</t>
  </si>
  <si>
    <t>Panama</t>
  </si>
  <si>
    <t>No stated purpose</t>
  </si>
  <si>
    <t>Repeated</t>
  </si>
  <si>
    <t>SilverWave Group</t>
  </si>
  <si>
    <t>Seychelles</t>
  </si>
  <si>
    <t>Offshore layering</t>
  </si>
  <si>
    <t>Rapid movement</t>
  </si>
  <si>
    <t>No business logic</t>
  </si>
  <si>
    <t>Offshore w/out docs</t>
  </si>
  <si>
    <t>Round-tripping</t>
  </si>
  <si>
    <t>Same-day matching</t>
  </si>
  <si>
    <t>Smurf-like outflow</t>
  </si>
  <si>
    <t>Matches incoming 25,800</t>
  </si>
  <si>
    <t>High value</t>
  </si>
  <si>
    <t>Pattern repeating</t>
  </si>
  <si>
    <t>No trade activity</t>
  </si>
  <si>
    <t>End-of-month push</t>
  </si>
  <si>
    <t>Low balance left</t>
  </si>
  <si>
    <t>Closes cycle</t>
  </si>
  <si>
    <t>risk_flag</t>
  </si>
  <si>
    <t>risk_reason</t>
  </si>
  <si>
    <t>analyst_decision</t>
  </si>
  <si>
    <t>decision_rationale</t>
  </si>
  <si>
    <t>false_positive</t>
  </si>
  <si>
    <t>reviewer_notes</t>
  </si>
  <si>
    <t>high_risk_jurisdiction</t>
  </si>
  <si>
    <t>velocity</t>
  </si>
  <si>
    <t>pass_through</t>
  </si>
  <si>
    <t>offshore_layering</t>
  </si>
  <si>
    <t>round_trip</t>
  </si>
  <si>
    <t>structuring</t>
  </si>
  <si>
    <t>Multiple transactions observed within a short time period, indicating elevated transaction velocity inconsistent with expected account activity</t>
  </si>
  <si>
    <t>Repeated transactions of similar amounts suggest potential structuring to avoid detection thresholds.</t>
  </si>
  <si>
    <t>Funds moved outbound shortly after inbound receipt with limited retention, indicating potential pass-through activity.</t>
  </si>
  <si>
    <t>Transaction activity suggests circular fund movement involving related counterparties, consistent with potential round-tripping behavior.</t>
  </si>
  <si>
    <t>Funds routed through offshore jurisdictions with limited economic justification, consistent with potential layering activity.</t>
  </si>
  <si>
    <t>Transaction involves a jurisdiction and corridor associated with elevated financial crime risk.</t>
  </si>
  <si>
    <t>CLEAR</t>
  </si>
  <si>
    <t>MONITOR</t>
  </si>
  <si>
    <t>ESCALATE</t>
  </si>
  <si>
    <t>Transaction reviewed and cleared due to insufficient risk indicators to support escalation at this time</t>
  </si>
  <si>
    <t>Transaction demonstrates multiple reinforcing risk indicators consistent with elevated financial crime risk and warrants escalation for further investigation</t>
  </si>
  <si>
    <t>Risk indicators observed but do not demonstrate sufficient persistence or convergence to warrant escalation at this stage.</t>
  </si>
  <si>
    <t>Transaction exhibits potential risk indicators; however, activity does not currently meet escalation thresholds and will be monitored for pattern development.</t>
  </si>
  <si>
    <t>Escalation supported due to circular fund movement indicators.</t>
  </si>
  <si>
    <t>Escalation appropriate given rapid movement of funds with limited economic purpose.</t>
  </si>
  <si>
    <t>Escalation supported due to offshore layering and lack of economic rationale.</t>
  </si>
  <si>
    <t>Pattern noted; appropriate to monitor for further convergence.</t>
  </si>
  <si>
    <t>Risk indicators present but escalation threshold not met at this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</si>
</sst>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zoomScale="90" zoomScaleNormal="90" workbookViewId="0">
      <pane ySplit="1" topLeftCell="A2" activePane="bottomLeft" state="frozen"/>
      <selection pane="bottomLeft" activeCell="K14" sqref="K14"/>
    </sheetView>
  </sheetViews>
  <sheetFormatPr defaultRowHeight="14.5" x14ac:dyDescent="0.35"/>
  <cols>
    <col min="1" max="1" width="10.81640625" customWidth="1"/>
    <col min="2" max="2" width="5" bestFit="1" customWidth="1"/>
    <col min="3" max="3" width="7.7265625" bestFit="1" customWidth="1"/>
    <col min="5" max="5" width="21.6328125" bestFit="1" customWidth="1"/>
    <col min="6" max="6" width="14" bestFit="1" customWidth="1"/>
    <col min="7" max="7" width="22.906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>
        <v>45661</v>
      </c>
      <c r="B2" t="s">
        <v>7</v>
      </c>
      <c r="C2">
        <v>24900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 s="1">
        <v>45662</v>
      </c>
      <c r="B3" t="s">
        <v>7</v>
      </c>
      <c r="C3">
        <v>18700</v>
      </c>
      <c r="D3" t="s">
        <v>8</v>
      </c>
      <c r="E3" t="s">
        <v>12</v>
      </c>
      <c r="F3" t="s">
        <v>13</v>
      </c>
      <c r="G3" t="s">
        <v>14</v>
      </c>
    </row>
    <row r="4" spans="1:7" x14ac:dyDescent="0.35">
      <c r="A4" s="1">
        <v>45664</v>
      </c>
      <c r="B4" t="s">
        <v>7</v>
      </c>
      <c r="C4">
        <v>32500</v>
      </c>
      <c r="D4" t="s">
        <v>8</v>
      </c>
      <c r="E4" t="s">
        <v>15</v>
      </c>
      <c r="F4" t="s">
        <v>16</v>
      </c>
      <c r="G4" t="s">
        <v>17</v>
      </c>
    </row>
    <row r="5" spans="1:7" x14ac:dyDescent="0.35">
      <c r="A5" s="1">
        <v>45666</v>
      </c>
      <c r="B5" t="s">
        <v>7</v>
      </c>
      <c r="C5">
        <v>41200</v>
      </c>
      <c r="D5" t="s">
        <v>8</v>
      </c>
      <c r="E5" t="s">
        <v>18</v>
      </c>
      <c r="F5" t="s">
        <v>19</v>
      </c>
      <c r="G5" t="s">
        <v>20</v>
      </c>
    </row>
    <row r="6" spans="1:7" x14ac:dyDescent="0.35">
      <c r="A6" s="1">
        <v>45668</v>
      </c>
      <c r="B6" t="s">
        <v>7</v>
      </c>
      <c r="C6">
        <v>19850</v>
      </c>
      <c r="D6" t="s">
        <v>8</v>
      </c>
      <c r="E6" t="s">
        <v>9</v>
      </c>
      <c r="F6" t="s">
        <v>10</v>
      </c>
      <c r="G6" t="s">
        <v>21</v>
      </c>
    </row>
    <row r="7" spans="1:7" x14ac:dyDescent="0.35">
      <c r="A7" s="1">
        <v>45669</v>
      </c>
      <c r="B7" t="s">
        <v>7</v>
      </c>
      <c r="C7">
        <v>27100</v>
      </c>
      <c r="D7" t="s">
        <v>8</v>
      </c>
      <c r="E7" t="s">
        <v>22</v>
      </c>
      <c r="F7" t="s">
        <v>23</v>
      </c>
      <c r="G7" t="s">
        <v>24</v>
      </c>
    </row>
    <row r="8" spans="1:7" x14ac:dyDescent="0.35">
      <c r="A8" s="1">
        <v>45671</v>
      </c>
      <c r="B8" t="s">
        <v>7</v>
      </c>
      <c r="C8">
        <v>16900</v>
      </c>
      <c r="D8" t="s">
        <v>8</v>
      </c>
      <c r="E8" t="s">
        <v>12</v>
      </c>
      <c r="F8" t="s">
        <v>13</v>
      </c>
      <c r="G8" t="s">
        <v>25</v>
      </c>
    </row>
    <row r="9" spans="1:7" x14ac:dyDescent="0.35">
      <c r="A9" s="1">
        <v>45673</v>
      </c>
      <c r="B9" t="s">
        <v>7</v>
      </c>
      <c r="C9">
        <v>28400</v>
      </c>
      <c r="D9" t="s">
        <v>8</v>
      </c>
      <c r="E9" t="s">
        <v>9</v>
      </c>
      <c r="F9" t="s">
        <v>10</v>
      </c>
      <c r="G9" t="s">
        <v>26</v>
      </c>
    </row>
    <row r="10" spans="1:7" x14ac:dyDescent="0.35">
      <c r="A10" s="1">
        <v>45675</v>
      </c>
      <c r="B10" t="s">
        <v>7</v>
      </c>
      <c r="C10">
        <v>33900</v>
      </c>
      <c r="D10" t="s">
        <v>8</v>
      </c>
      <c r="E10" t="s">
        <v>27</v>
      </c>
      <c r="F10" t="s">
        <v>28</v>
      </c>
      <c r="G10" t="s">
        <v>29</v>
      </c>
    </row>
    <row r="11" spans="1:7" x14ac:dyDescent="0.35">
      <c r="A11" s="1">
        <v>45677</v>
      </c>
      <c r="B11" t="s">
        <v>7</v>
      </c>
      <c r="C11">
        <v>21500</v>
      </c>
      <c r="D11" t="s">
        <v>8</v>
      </c>
      <c r="E11" t="s">
        <v>18</v>
      </c>
      <c r="F11" t="s">
        <v>19</v>
      </c>
      <c r="G11" t="s">
        <v>30</v>
      </c>
    </row>
    <row r="12" spans="1:7" x14ac:dyDescent="0.35">
      <c r="A12" s="1">
        <v>45679</v>
      </c>
      <c r="B12" t="s">
        <v>7</v>
      </c>
      <c r="C12">
        <v>14750</v>
      </c>
      <c r="D12" t="s">
        <v>8</v>
      </c>
      <c r="E12" t="s">
        <v>22</v>
      </c>
      <c r="F12" t="s">
        <v>23</v>
      </c>
      <c r="G12" t="s">
        <v>31</v>
      </c>
    </row>
    <row r="13" spans="1:7" x14ac:dyDescent="0.35">
      <c r="A13" s="1">
        <v>45680</v>
      </c>
      <c r="B13" t="s">
        <v>7</v>
      </c>
      <c r="C13">
        <v>29200</v>
      </c>
      <c r="D13" t="s">
        <v>8</v>
      </c>
      <c r="E13" t="s">
        <v>12</v>
      </c>
      <c r="F13" t="s">
        <v>13</v>
      </c>
      <c r="G13" t="s">
        <v>32</v>
      </c>
    </row>
    <row r="14" spans="1:7" x14ac:dyDescent="0.35">
      <c r="A14" s="1">
        <v>45681</v>
      </c>
      <c r="B14" t="s">
        <v>7</v>
      </c>
      <c r="C14">
        <v>17950</v>
      </c>
      <c r="D14" t="s">
        <v>8</v>
      </c>
      <c r="E14" t="s">
        <v>27</v>
      </c>
      <c r="F14" t="s">
        <v>28</v>
      </c>
      <c r="G14" t="s">
        <v>33</v>
      </c>
    </row>
    <row r="15" spans="1:7" x14ac:dyDescent="0.35">
      <c r="A15" s="1">
        <v>45683</v>
      </c>
      <c r="B15" t="s">
        <v>7</v>
      </c>
      <c r="C15">
        <v>25800</v>
      </c>
      <c r="D15" t="s">
        <v>8</v>
      </c>
      <c r="E15" t="s">
        <v>9</v>
      </c>
      <c r="F15" t="s">
        <v>10</v>
      </c>
      <c r="G15" t="s">
        <v>34</v>
      </c>
    </row>
    <row r="16" spans="1:7" x14ac:dyDescent="0.35">
      <c r="A16" s="1">
        <v>45685</v>
      </c>
      <c r="B16" t="s">
        <v>7</v>
      </c>
      <c r="C16">
        <v>39100</v>
      </c>
      <c r="D16" t="s">
        <v>8</v>
      </c>
      <c r="E16" t="s">
        <v>18</v>
      </c>
      <c r="F16" t="s">
        <v>19</v>
      </c>
      <c r="G16" t="s">
        <v>35</v>
      </c>
    </row>
    <row r="17" spans="1:7" x14ac:dyDescent="0.35">
      <c r="A17" s="1">
        <v>45686</v>
      </c>
      <c r="B17" t="s">
        <v>7</v>
      </c>
      <c r="C17">
        <v>22400</v>
      </c>
      <c r="D17" t="s">
        <v>8</v>
      </c>
      <c r="E17" t="s">
        <v>22</v>
      </c>
      <c r="F17" t="s">
        <v>23</v>
      </c>
      <c r="G17" t="s">
        <v>36</v>
      </c>
    </row>
    <row r="18" spans="1:7" x14ac:dyDescent="0.35">
      <c r="A18" s="1">
        <v>45687</v>
      </c>
      <c r="B18" t="s">
        <v>7</v>
      </c>
      <c r="C18">
        <v>30300</v>
      </c>
      <c r="D18" t="s">
        <v>8</v>
      </c>
      <c r="E18" t="s">
        <v>27</v>
      </c>
      <c r="F18" t="s">
        <v>28</v>
      </c>
      <c r="G18" t="s">
        <v>37</v>
      </c>
    </row>
    <row r="19" spans="1:7" x14ac:dyDescent="0.35">
      <c r="A19" s="1">
        <v>45689</v>
      </c>
      <c r="B19" t="s">
        <v>7</v>
      </c>
      <c r="C19">
        <v>18200</v>
      </c>
      <c r="D19" t="s">
        <v>8</v>
      </c>
      <c r="E19" t="s">
        <v>15</v>
      </c>
      <c r="F19" t="s">
        <v>16</v>
      </c>
      <c r="G19" t="s">
        <v>38</v>
      </c>
    </row>
    <row r="20" spans="1:7" x14ac:dyDescent="0.35">
      <c r="A20" s="1">
        <v>45690</v>
      </c>
      <c r="B20" t="s">
        <v>7</v>
      </c>
      <c r="C20">
        <v>27900</v>
      </c>
      <c r="D20" t="s">
        <v>8</v>
      </c>
      <c r="E20" t="s">
        <v>9</v>
      </c>
      <c r="F20" t="s">
        <v>10</v>
      </c>
      <c r="G20" t="s">
        <v>39</v>
      </c>
    </row>
    <row r="21" spans="1:7" x14ac:dyDescent="0.35">
      <c r="A21" s="1">
        <v>45662</v>
      </c>
      <c r="B21" t="s">
        <v>7</v>
      </c>
      <c r="C21">
        <v>24500</v>
      </c>
      <c r="D21" t="s">
        <v>40</v>
      </c>
      <c r="E21" t="s">
        <v>41</v>
      </c>
      <c r="F21" t="s">
        <v>42</v>
      </c>
      <c r="G21" t="s">
        <v>43</v>
      </c>
    </row>
    <row r="22" spans="1:7" x14ac:dyDescent="0.35">
      <c r="A22" s="1">
        <v>45664</v>
      </c>
      <c r="B22" t="s">
        <v>7</v>
      </c>
      <c r="C22">
        <v>18400</v>
      </c>
      <c r="D22" t="s">
        <v>40</v>
      </c>
      <c r="E22" t="s">
        <v>44</v>
      </c>
      <c r="F22" t="s">
        <v>45</v>
      </c>
      <c r="G22" t="s">
        <v>46</v>
      </c>
    </row>
    <row r="23" spans="1:7" x14ac:dyDescent="0.35">
      <c r="A23" s="1">
        <v>45665</v>
      </c>
      <c r="B23" t="s">
        <v>7</v>
      </c>
      <c r="C23">
        <v>32200</v>
      </c>
      <c r="D23" t="s">
        <v>40</v>
      </c>
      <c r="E23" t="s">
        <v>47</v>
      </c>
      <c r="F23" t="s">
        <v>48</v>
      </c>
      <c r="G23" t="s">
        <v>49</v>
      </c>
    </row>
    <row r="24" spans="1:7" x14ac:dyDescent="0.35">
      <c r="A24" s="1">
        <v>45667</v>
      </c>
      <c r="B24" t="s">
        <v>7</v>
      </c>
      <c r="C24">
        <v>40900</v>
      </c>
      <c r="D24" t="s">
        <v>40</v>
      </c>
      <c r="E24" t="s">
        <v>41</v>
      </c>
      <c r="F24" t="s">
        <v>42</v>
      </c>
      <c r="G24" t="s">
        <v>50</v>
      </c>
    </row>
    <row r="25" spans="1:7" x14ac:dyDescent="0.35">
      <c r="A25" s="1">
        <v>45669</v>
      </c>
      <c r="B25" t="s">
        <v>7</v>
      </c>
      <c r="C25">
        <v>19400</v>
      </c>
      <c r="D25" t="s">
        <v>40</v>
      </c>
      <c r="E25" t="s">
        <v>51</v>
      </c>
      <c r="F25" t="s">
        <v>52</v>
      </c>
      <c r="G25" t="s">
        <v>53</v>
      </c>
    </row>
    <row r="26" spans="1:7" x14ac:dyDescent="0.35">
      <c r="A26" s="1">
        <v>45670</v>
      </c>
      <c r="B26" t="s">
        <v>7</v>
      </c>
      <c r="C26">
        <v>26900</v>
      </c>
      <c r="D26" t="s">
        <v>40</v>
      </c>
      <c r="E26" t="s">
        <v>44</v>
      </c>
      <c r="F26" t="s">
        <v>45</v>
      </c>
      <c r="G26" t="s">
        <v>54</v>
      </c>
    </row>
    <row r="27" spans="1:7" x14ac:dyDescent="0.35">
      <c r="A27" s="1">
        <v>45672</v>
      </c>
      <c r="B27" t="s">
        <v>7</v>
      </c>
      <c r="C27">
        <v>29500</v>
      </c>
      <c r="D27" t="s">
        <v>40</v>
      </c>
      <c r="E27" t="s">
        <v>47</v>
      </c>
      <c r="F27" t="s">
        <v>48</v>
      </c>
      <c r="G27" t="s">
        <v>55</v>
      </c>
    </row>
    <row r="28" spans="1:7" x14ac:dyDescent="0.35">
      <c r="A28" s="1">
        <v>45674</v>
      </c>
      <c r="B28" t="s">
        <v>7</v>
      </c>
      <c r="C28">
        <v>33600</v>
      </c>
      <c r="D28" t="s">
        <v>40</v>
      </c>
      <c r="E28" t="s">
        <v>51</v>
      </c>
      <c r="F28" t="s">
        <v>52</v>
      </c>
      <c r="G28" t="s">
        <v>56</v>
      </c>
    </row>
    <row r="29" spans="1:7" x14ac:dyDescent="0.35">
      <c r="A29" s="1">
        <v>45676</v>
      </c>
      <c r="B29" t="s">
        <v>7</v>
      </c>
      <c r="C29">
        <v>21200</v>
      </c>
      <c r="D29" t="s">
        <v>40</v>
      </c>
      <c r="E29" t="s">
        <v>41</v>
      </c>
      <c r="F29" t="s">
        <v>42</v>
      </c>
      <c r="G29" t="s">
        <v>57</v>
      </c>
    </row>
    <row r="30" spans="1:7" x14ac:dyDescent="0.35">
      <c r="A30" s="1">
        <v>45678</v>
      </c>
      <c r="B30" t="s">
        <v>7</v>
      </c>
      <c r="C30">
        <v>14500</v>
      </c>
      <c r="D30" t="s">
        <v>40</v>
      </c>
      <c r="E30" t="s">
        <v>44</v>
      </c>
      <c r="F30" t="s">
        <v>45</v>
      </c>
      <c r="G30" t="s">
        <v>11</v>
      </c>
    </row>
    <row r="31" spans="1:7" x14ac:dyDescent="0.35">
      <c r="A31" s="1">
        <v>45680</v>
      </c>
      <c r="B31" t="s">
        <v>7</v>
      </c>
      <c r="C31">
        <v>27300</v>
      </c>
      <c r="D31" t="s">
        <v>40</v>
      </c>
      <c r="E31" t="s">
        <v>47</v>
      </c>
      <c r="F31" t="s">
        <v>48</v>
      </c>
      <c r="G31" t="s">
        <v>58</v>
      </c>
    </row>
    <row r="32" spans="1:7" x14ac:dyDescent="0.35">
      <c r="A32" s="1">
        <v>45682</v>
      </c>
      <c r="B32" t="s">
        <v>7</v>
      </c>
      <c r="C32">
        <v>16900</v>
      </c>
      <c r="D32" t="s">
        <v>40</v>
      </c>
      <c r="E32" t="s">
        <v>51</v>
      </c>
      <c r="F32" t="s">
        <v>52</v>
      </c>
      <c r="G32" t="s">
        <v>59</v>
      </c>
    </row>
    <row r="33" spans="1:7" x14ac:dyDescent="0.35">
      <c r="A33" s="1">
        <v>45683</v>
      </c>
      <c r="B33" t="s">
        <v>7</v>
      </c>
      <c r="C33">
        <v>25500</v>
      </c>
      <c r="D33" t="s">
        <v>40</v>
      </c>
      <c r="E33" t="s">
        <v>41</v>
      </c>
      <c r="F33" t="s">
        <v>42</v>
      </c>
      <c r="G33" t="s">
        <v>60</v>
      </c>
    </row>
    <row r="34" spans="1:7" x14ac:dyDescent="0.35">
      <c r="A34" s="1">
        <v>45684</v>
      </c>
      <c r="B34" t="s">
        <v>7</v>
      </c>
      <c r="C34">
        <v>38900</v>
      </c>
      <c r="D34" t="s">
        <v>40</v>
      </c>
      <c r="E34" t="s">
        <v>44</v>
      </c>
      <c r="F34" t="s">
        <v>45</v>
      </c>
      <c r="G34" t="s">
        <v>61</v>
      </c>
    </row>
    <row r="35" spans="1:7" x14ac:dyDescent="0.35">
      <c r="A35" s="1">
        <v>45685</v>
      </c>
      <c r="B35" t="s">
        <v>7</v>
      </c>
      <c r="C35">
        <v>21900</v>
      </c>
      <c r="D35" t="s">
        <v>40</v>
      </c>
      <c r="E35" t="s">
        <v>47</v>
      </c>
      <c r="F35" t="s">
        <v>48</v>
      </c>
      <c r="G35" t="s">
        <v>34</v>
      </c>
    </row>
    <row r="36" spans="1:7" x14ac:dyDescent="0.35">
      <c r="A36" s="1">
        <v>45687</v>
      </c>
      <c r="B36" t="s">
        <v>7</v>
      </c>
      <c r="C36">
        <v>30100</v>
      </c>
      <c r="D36" t="s">
        <v>40</v>
      </c>
      <c r="E36" t="s">
        <v>51</v>
      </c>
      <c r="F36" t="s">
        <v>52</v>
      </c>
      <c r="G36" t="s">
        <v>53</v>
      </c>
    </row>
    <row r="37" spans="1:7" x14ac:dyDescent="0.35">
      <c r="A37" s="1">
        <v>45688</v>
      </c>
      <c r="B37" t="s">
        <v>7</v>
      </c>
      <c r="C37">
        <v>22100</v>
      </c>
      <c r="D37" t="s">
        <v>40</v>
      </c>
      <c r="E37" t="s">
        <v>41</v>
      </c>
      <c r="F37" t="s">
        <v>42</v>
      </c>
      <c r="G37" t="s">
        <v>62</v>
      </c>
    </row>
    <row r="38" spans="1:7" x14ac:dyDescent="0.35">
      <c r="A38" s="1">
        <v>45689</v>
      </c>
      <c r="B38" t="s">
        <v>7</v>
      </c>
      <c r="C38">
        <v>17900</v>
      </c>
      <c r="D38" t="s">
        <v>40</v>
      </c>
      <c r="E38" t="s">
        <v>44</v>
      </c>
      <c r="F38" t="s">
        <v>45</v>
      </c>
      <c r="G38" t="s">
        <v>63</v>
      </c>
    </row>
    <row r="39" spans="1:7" x14ac:dyDescent="0.35">
      <c r="A39" s="1">
        <v>45690</v>
      </c>
      <c r="B39" t="s">
        <v>7</v>
      </c>
      <c r="C39">
        <v>27500</v>
      </c>
      <c r="D39" t="s">
        <v>40</v>
      </c>
      <c r="E39" t="s">
        <v>47</v>
      </c>
      <c r="F39" t="s">
        <v>48</v>
      </c>
      <c r="G39" t="s">
        <v>64</v>
      </c>
    </row>
    <row r="40" spans="1:7" x14ac:dyDescent="0.35">
      <c r="A40" s="1">
        <v>45691</v>
      </c>
      <c r="B40" t="s">
        <v>7</v>
      </c>
      <c r="C40">
        <v>18000</v>
      </c>
      <c r="D40" t="s">
        <v>40</v>
      </c>
      <c r="E40" t="s">
        <v>51</v>
      </c>
      <c r="F40" t="s">
        <v>52</v>
      </c>
      <c r="G40" t="s">
        <v>65</v>
      </c>
    </row>
    <row r="41" spans="1:7" x14ac:dyDescent="0.35">
      <c r="A41" s="1">
        <v>45692</v>
      </c>
      <c r="B41" t="s">
        <v>7</v>
      </c>
      <c r="C41">
        <v>26800</v>
      </c>
      <c r="D41" t="s">
        <v>40</v>
      </c>
      <c r="E41" t="s">
        <v>41</v>
      </c>
      <c r="F41" t="s">
        <v>42</v>
      </c>
      <c r="G4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0F53-3C34-4583-B5E6-8A72C262E4BE}">
  <dimension ref="A1:M41"/>
  <sheetViews>
    <sheetView tabSelected="1" zoomScale="90" zoomScaleNormal="90" workbookViewId="0">
      <pane ySplit="1" topLeftCell="A2" activePane="bottomLeft" state="frozen"/>
      <selection pane="bottomLeft" activeCell="C42" sqref="C42"/>
    </sheetView>
  </sheetViews>
  <sheetFormatPr defaultRowHeight="14.5" x14ac:dyDescent="0.35"/>
  <cols>
    <col min="1" max="2" width="9.90625" customWidth="1"/>
    <col min="3" max="3" width="10.453125" bestFit="1" customWidth="1"/>
    <col min="4" max="4" width="11.1796875" bestFit="1" customWidth="1"/>
    <col min="5" max="5" width="21.90625" customWidth="1"/>
    <col min="6" max="6" width="14.54296875" customWidth="1"/>
    <col min="7" max="7" width="23" customWidth="1"/>
    <col min="8" max="8" width="19.7265625" style="8" customWidth="1"/>
    <col min="9" max="9" width="119.54296875" customWidth="1"/>
    <col min="10" max="10" width="14.7265625" style="8" bestFit="1" customWidth="1"/>
    <col min="11" max="11" width="136.453125" bestFit="1" customWidth="1"/>
    <col min="12" max="12" width="12.26953125" style="8" bestFit="1" customWidth="1"/>
    <col min="13" max="13" width="75.08984375" customWidth="1"/>
  </cols>
  <sheetData>
    <row r="1" spans="1:13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2" t="s">
        <v>67</v>
      </c>
      <c r="I1" s="4" t="s">
        <v>68</v>
      </c>
      <c r="J1" s="6" t="s">
        <v>69</v>
      </c>
      <c r="K1" s="4" t="s">
        <v>70</v>
      </c>
      <c r="L1" s="6" t="s">
        <v>71</v>
      </c>
      <c r="M1" s="4" t="s">
        <v>72</v>
      </c>
    </row>
    <row r="2" spans="1:13" x14ac:dyDescent="0.35">
      <c r="A2" s="1">
        <v>45661</v>
      </c>
      <c r="B2" t="s">
        <v>7</v>
      </c>
      <c r="C2">
        <v>24900</v>
      </c>
      <c r="D2" t="s">
        <v>8</v>
      </c>
      <c r="E2" t="s">
        <v>9</v>
      </c>
      <c r="F2" t="s">
        <v>10</v>
      </c>
      <c r="G2" t="s">
        <v>11</v>
      </c>
      <c r="H2" s="13"/>
      <c r="J2" s="9" t="s">
        <v>85</v>
      </c>
      <c r="K2" t="s">
        <v>88</v>
      </c>
      <c r="L2" s="7" t="str">
        <f>IF(J2="ESCALATE","NO","YES")</f>
        <v>YES</v>
      </c>
      <c r="M2" s="2"/>
    </row>
    <row r="3" spans="1:13" x14ac:dyDescent="0.35">
      <c r="A3" s="1">
        <v>45662</v>
      </c>
      <c r="B3" t="s">
        <v>7</v>
      </c>
      <c r="C3">
        <v>18700</v>
      </c>
      <c r="D3" t="s">
        <v>8</v>
      </c>
      <c r="E3" t="s">
        <v>12</v>
      </c>
      <c r="F3" t="s">
        <v>13</v>
      </c>
      <c r="G3" t="s">
        <v>14</v>
      </c>
      <c r="J3" s="9" t="s">
        <v>85</v>
      </c>
      <c r="K3" t="s">
        <v>88</v>
      </c>
      <c r="L3" s="7" t="str">
        <f t="shared" ref="L3:L41" si="0">IF(J3="ESCALATE","NO","YES")</f>
        <v>YES</v>
      </c>
    </row>
    <row r="4" spans="1:13" x14ac:dyDescent="0.35">
      <c r="A4" s="1">
        <v>45664</v>
      </c>
      <c r="B4" t="s">
        <v>7</v>
      </c>
      <c r="C4">
        <v>32500</v>
      </c>
      <c r="D4" t="s">
        <v>8</v>
      </c>
      <c r="E4" t="s">
        <v>15</v>
      </c>
      <c r="F4" t="s">
        <v>16</v>
      </c>
      <c r="G4" t="s">
        <v>17</v>
      </c>
      <c r="H4" s="8" t="s">
        <v>73</v>
      </c>
      <c r="I4" t="s">
        <v>84</v>
      </c>
      <c r="J4" s="10" t="s">
        <v>86</v>
      </c>
      <c r="K4" t="s">
        <v>90</v>
      </c>
      <c r="L4" s="7" t="str">
        <f t="shared" si="0"/>
        <v>YES</v>
      </c>
    </row>
    <row r="5" spans="1:13" x14ac:dyDescent="0.35">
      <c r="A5" s="1">
        <v>45666</v>
      </c>
      <c r="B5" t="s">
        <v>7</v>
      </c>
      <c r="C5">
        <v>41200</v>
      </c>
      <c r="D5" t="s">
        <v>8</v>
      </c>
      <c r="E5" t="s">
        <v>18</v>
      </c>
      <c r="F5" t="s">
        <v>19</v>
      </c>
      <c r="G5" t="s">
        <v>20</v>
      </c>
      <c r="J5" s="10" t="s">
        <v>86</v>
      </c>
      <c r="K5" t="s">
        <v>91</v>
      </c>
      <c r="L5" s="7" t="str">
        <f t="shared" si="0"/>
        <v>YES</v>
      </c>
    </row>
    <row r="6" spans="1:13" x14ac:dyDescent="0.35">
      <c r="A6" s="1">
        <v>45668</v>
      </c>
      <c r="B6" t="s">
        <v>7</v>
      </c>
      <c r="C6">
        <v>19850</v>
      </c>
      <c r="D6" t="s">
        <v>8</v>
      </c>
      <c r="E6" t="s">
        <v>9</v>
      </c>
      <c r="F6" t="s">
        <v>10</v>
      </c>
      <c r="G6" t="s">
        <v>21</v>
      </c>
      <c r="H6" s="7" t="s">
        <v>74</v>
      </c>
      <c r="I6" t="s">
        <v>79</v>
      </c>
      <c r="J6" s="10" t="s">
        <v>86</v>
      </c>
      <c r="K6" t="s">
        <v>91</v>
      </c>
      <c r="L6" s="7" t="str">
        <f t="shared" si="0"/>
        <v>YES</v>
      </c>
      <c r="M6" t="s">
        <v>95</v>
      </c>
    </row>
    <row r="7" spans="1:13" x14ac:dyDescent="0.35">
      <c r="A7" s="1">
        <v>45669</v>
      </c>
      <c r="B7" t="s">
        <v>7</v>
      </c>
      <c r="C7">
        <v>27100</v>
      </c>
      <c r="D7" t="s">
        <v>8</v>
      </c>
      <c r="E7" t="s">
        <v>22</v>
      </c>
      <c r="F7" t="s">
        <v>23</v>
      </c>
      <c r="G7" t="s">
        <v>24</v>
      </c>
      <c r="H7" s="7"/>
      <c r="J7" s="9" t="s">
        <v>85</v>
      </c>
      <c r="K7" t="s">
        <v>88</v>
      </c>
      <c r="L7" s="7" t="str">
        <f t="shared" si="0"/>
        <v>YES</v>
      </c>
    </row>
    <row r="8" spans="1:13" x14ac:dyDescent="0.35">
      <c r="A8" s="1">
        <v>45671</v>
      </c>
      <c r="B8" t="s">
        <v>7</v>
      </c>
      <c r="C8">
        <v>16900</v>
      </c>
      <c r="D8" t="s">
        <v>8</v>
      </c>
      <c r="E8" t="s">
        <v>12</v>
      </c>
      <c r="F8" t="s">
        <v>13</v>
      </c>
      <c r="G8" t="s">
        <v>25</v>
      </c>
      <c r="H8" s="8" t="s">
        <v>78</v>
      </c>
      <c r="I8" t="s">
        <v>80</v>
      </c>
      <c r="J8" s="10" t="s">
        <v>86</v>
      </c>
      <c r="K8" t="s">
        <v>91</v>
      </c>
      <c r="L8" s="7" t="str">
        <f t="shared" si="0"/>
        <v>YES</v>
      </c>
      <c r="M8" t="s">
        <v>95</v>
      </c>
    </row>
    <row r="9" spans="1:13" x14ac:dyDescent="0.35">
      <c r="A9" s="1">
        <v>45673</v>
      </c>
      <c r="B9" t="s">
        <v>7</v>
      </c>
      <c r="C9">
        <v>28400</v>
      </c>
      <c r="D9" t="s">
        <v>8</v>
      </c>
      <c r="E9" t="s">
        <v>9</v>
      </c>
      <c r="F9" t="s">
        <v>10</v>
      </c>
      <c r="G9" t="s">
        <v>26</v>
      </c>
      <c r="H9" s="7" t="s">
        <v>74</v>
      </c>
      <c r="I9" t="s">
        <v>79</v>
      </c>
      <c r="J9" s="10" t="s">
        <v>86</v>
      </c>
      <c r="K9" t="s">
        <v>91</v>
      </c>
      <c r="L9" s="7" t="str">
        <f t="shared" si="0"/>
        <v>YES</v>
      </c>
      <c r="M9" t="s">
        <v>95</v>
      </c>
    </row>
    <row r="10" spans="1:13" x14ac:dyDescent="0.35">
      <c r="A10" s="1">
        <v>45675</v>
      </c>
      <c r="B10" t="s">
        <v>7</v>
      </c>
      <c r="C10">
        <v>33900</v>
      </c>
      <c r="D10" t="s">
        <v>8</v>
      </c>
      <c r="E10" t="s">
        <v>27</v>
      </c>
      <c r="F10" t="s">
        <v>28</v>
      </c>
      <c r="G10" t="s">
        <v>29</v>
      </c>
      <c r="J10" s="9" t="s">
        <v>85</v>
      </c>
      <c r="K10" t="s">
        <v>88</v>
      </c>
      <c r="L10" s="7" t="str">
        <f t="shared" si="0"/>
        <v>YES</v>
      </c>
    </row>
    <row r="11" spans="1:13" x14ac:dyDescent="0.35">
      <c r="A11" s="1">
        <v>45677</v>
      </c>
      <c r="B11" t="s">
        <v>7</v>
      </c>
      <c r="C11">
        <v>21500</v>
      </c>
      <c r="D11" t="s">
        <v>8</v>
      </c>
      <c r="E11" t="s">
        <v>18</v>
      </c>
      <c r="F11" t="s">
        <v>19</v>
      </c>
      <c r="G11" t="s">
        <v>30</v>
      </c>
      <c r="H11" s="8" t="s">
        <v>78</v>
      </c>
      <c r="I11" t="s">
        <v>80</v>
      </c>
      <c r="J11" s="10" t="s">
        <v>86</v>
      </c>
      <c r="K11" t="s">
        <v>91</v>
      </c>
      <c r="L11" s="7" t="str">
        <f t="shared" si="0"/>
        <v>YES</v>
      </c>
      <c r="M11" t="s">
        <v>95</v>
      </c>
    </row>
    <row r="12" spans="1:13" x14ac:dyDescent="0.35">
      <c r="A12" s="1">
        <v>45679</v>
      </c>
      <c r="B12" t="s">
        <v>7</v>
      </c>
      <c r="C12">
        <v>14750</v>
      </c>
      <c r="D12" t="s">
        <v>8</v>
      </c>
      <c r="E12" t="s">
        <v>22</v>
      </c>
      <c r="F12" t="s">
        <v>23</v>
      </c>
      <c r="G12" t="s">
        <v>31</v>
      </c>
      <c r="J12" s="9" t="s">
        <v>85</v>
      </c>
      <c r="K12" t="s">
        <v>88</v>
      </c>
      <c r="L12" s="7" t="str">
        <f t="shared" si="0"/>
        <v>YES</v>
      </c>
    </row>
    <row r="13" spans="1:13" x14ac:dyDescent="0.35">
      <c r="A13" s="1">
        <v>45680</v>
      </c>
      <c r="B13" t="s">
        <v>7</v>
      </c>
      <c r="C13">
        <v>29200</v>
      </c>
      <c r="D13" t="s">
        <v>8</v>
      </c>
      <c r="E13" t="s">
        <v>12</v>
      </c>
      <c r="F13" t="s">
        <v>13</v>
      </c>
      <c r="G13" t="s">
        <v>32</v>
      </c>
      <c r="H13" s="8" t="s">
        <v>78</v>
      </c>
      <c r="I13" t="s">
        <v>80</v>
      </c>
      <c r="J13" s="10" t="s">
        <v>86</v>
      </c>
      <c r="K13" t="s">
        <v>91</v>
      </c>
      <c r="L13" s="7" t="str">
        <f t="shared" si="0"/>
        <v>YES</v>
      </c>
      <c r="M13" t="s">
        <v>95</v>
      </c>
    </row>
    <row r="14" spans="1:13" x14ac:dyDescent="0.35">
      <c r="A14" s="1">
        <v>45681</v>
      </c>
      <c r="B14" t="s">
        <v>7</v>
      </c>
      <c r="C14">
        <v>17950</v>
      </c>
      <c r="D14" t="s">
        <v>8</v>
      </c>
      <c r="E14" t="s">
        <v>27</v>
      </c>
      <c r="F14" t="s">
        <v>28</v>
      </c>
      <c r="G14" t="s">
        <v>33</v>
      </c>
      <c r="J14" s="10" t="s">
        <v>86</v>
      </c>
      <c r="K14" t="s">
        <v>91</v>
      </c>
      <c r="L14" s="7" t="str">
        <f t="shared" si="0"/>
        <v>YES</v>
      </c>
    </row>
    <row r="15" spans="1:13" x14ac:dyDescent="0.35">
      <c r="A15" s="1">
        <v>45683</v>
      </c>
      <c r="B15" t="s">
        <v>7</v>
      </c>
      <c r="C15">
        <v>25800</v>
      </c>
      <c r="D15" t="s">
        <v>8</v>
      </c>
      <c r="E15" t="s">
        <v>9</v>
      </c>
      <c r="F15" t="s">
        <v>10</v>
      </c>
      <c r="G15" t="s">
        <v>34</v>
      </c>
      <c r="H15" s="8" t="s">
        <v>74</v>
      </c>
      <c r="I15" t="s">
        <v>79</v>
      </c>
      <c r="J15" s="10" t="s">
        <v>86</v>
      </c>
      <c r="K15" t="s">
        <v>91</v>
      </c>
      <c r="L15" s="7" t="str">
        <f t="shared" si="0"/>
        <v>YES</v>
      </c>
      <c r="M15" t="s">
        <v>95</v>
      </c>
    </row>
    <row r="16" spans="1:13" x14ac:dyDescent="0.35">
      <c r="A16" s="1">
        <v>45685</v>
      </c>
      <c r="B16" t="s">
        <v>7</v>
      </c>
      <c r="C16">
        <v>39100</v>
      </c>
      <c r="D16" t="s">
        <v>8</v>
      </c>
      <c r="E16" t="s">
        <v>18</v>
      </c>
      <c r="F16" t="s">
        <v>19</v>
      </c>
      <c r="G16" t="s">
        <v>35</v>
      </c>
      <c r="J16" s="10" t="s">
        <v>86</v>
      </c>
      <c r="K16" t="s">
        <v>91</v>
      </c>
      <c r="L16" s="7" t="str">
        <f t="shared" si="0"/>
        <v>YES</v>
      </c>
    </row>
    <row r="17" spans="1:13" x14ac:dyDescent="0.35">
      <c r="A17" s="1">
        <v>45686</v>
      </c>
      <c r="B17" t="s">
        <v>7</v>
      </c>
      <c r="C17">
        <v>22400</v>
      </c>
      <c r="D17" t="s">
        <v>8</v>
      </c>
      <c r="E17" t="s">
        <v>22</v>
      </c>
      <c r="F17" t="s">
        <v>23</v>
      </c>
      <c r="G17" t="s">
        <v>36</v>
      </c>
      <c r="H17" s="8" t="s">
        <v>73</v>
      </c>
      <c r="I17" t="s">
        <v>84</v>
      </c>
      <c r="J17" s="10" t="s">
        <v>86</v>
      </c>
      <c r="K17" t="s">
        <v>90</v>
      </c>
      <c r="L17" s="7" t="str">
        <f t="shared" si="0"/>
        <v>YES</v>
      </c>
      <c r="M17" t="s">
        <v>96</v>
      </c>
    </row>
    <row r="18" spans="1:13" x14ac:dyDescent="0.35">
      <c r="A18" s="1">
        <v>45687</v>
      </c>
      <c r="B18" t="s">
        <v>7</v>
      </c>
      <c r="C18">
        <v>30300</v>
      </c>
      <c r="D18" t="s">
        <v>8</v>
      </c>
      <c r="E18" t="s">
        <v>27</v>
      </c>
      <c r="F18" t="s">
        <v>28</v>
      </c>
      <c r="G18" t="s">
        <v>37</v>
      </c>
      <c r="J18" s="10" t="s">
        <v>86</v>
      </c>
      <c r="K18" t="s">
        <v>91</v>
      </c>
      <c r="L18" s="7" t="str">
        <f t="shared" si="0"/>
        <v>YES</v>
      </c>
      <c r="M18" t="s">
        <v>96</v>
      </c>
    </row>
    <row r="19" spans="1:13" x14ac:dyDescent="0.35">
      <c r="A19" s="1">
        <v>45689</v>
      </c>
      <c r="B19" t="s">
        <v>7</v>
      </c>
      <c r="C19">
        <v>18200</v>
      </c>
      <c r="D19" t="s">
        <v>8</v>
      </c>
      <c r="E19" t="s">
        <v>15</v>
      </c>
      <c r="F19" t="s">
        <v>16</v>
      </c>
      <c r="G19" t="s">
        <v>38</v>
      </c>
      <c r="H19" s="8" t="s">
        <v>77</v>
      </c>
      <c r="I19" t="s">
        <v>82</v>
      </c>
      <c r="J19" s="11" t="s">
        <v>87</v>
      </c>
      <c r="K19" t="s">
        <v>89</v>
      </c>
      <c r="L19" s="7" t="str">
        <f t="shared" si="0"/>
        <v>NO</v>
      </c>
      <c r="M19" t="s">
        <v>92</v>
      </c>
    </row>
    <row r="20" spans="1:13" x14ac:dyDescent="0.35">
      <c r="A20" s="1">
        <v>45690</v>
      </c>
      <c r="B20" t="s">
        <v>7</v>
      </c>
      <c r="C20">
        <v>27900</v>
      </c>
      <c r="D20" t="s">
        <v>8</v>
      </c>
      <c r="E20" t="s">
        <v>9</v>
      </c>
      <c r="F20" t="s">
        <v>10</v>
      </c>
      <c r="G20" t="s">
        <v>39</v>
      </c>
      <c r="H20" s="8" t="s">
        <v>74</v>
      </c>
      <c r="I20" t="s">
        <v>79</v>
      </c>
      <c r="J20" s="10" t="s">
        <v>86</v>
      </c>
      <c r="K20" t="s">
        <v>91</v>
      </c>
      <c r="L20" s="7" t="str">
        <f t="shared" si="0"/>
        <v>YES</v>
      </c>
    </row>
    <row r="21" spans="1:13" x14ac:dyDescent="0.35">
      <c r="A21" s="1">
        <v>45662</v>
      </c>
      <c r="B21" t="s">
        <v>7</v>
      </c>
      <c r="C21">
        <v>24500</v>
      </c>
      <c r="D21" t="s">
        <v>40</v>
      </c>
      <c r="E21" t="s">
        <v>41</v>
      </c>
      <c r="F21" t="s">
        <v>42</v>
      </c>
      <c r="G21" t="s">
        <v>43</v>
      </c>
      <c r="H21" s="8" t="s">
        <v>75</v>
      </c>
      <c r="I21" t="s">
        <v>81</v>
      </c>
      <c r="J21" s="11" t="s">
        <v>87</v>
      </c>
      <c r="K21" t="s">
        <v>89</v>
      </c>
      <c r="L21" s="7" t="str">
        <f t="shared" si="0"/>
        <v>NO</v>
      </c>
      <c r="M21" t="s">
        <v>93</v>
      </c>
    </row>
    <row r="22" spans="1:13" x14ac:dyDescent="0.35">
      <c r="A22" s="1">
        <v>45664</v>
      </c>
      <c r="B22" t="s">
        <v>7</v>
      </c>
      <c r="C22">
        <v>18400</v>
      </c>
      <c r="D22" t="s">
        <v>40</v>
      </c>
      <c r="E22" t="s">
        <v>44</v>
      </c>
      <c r="F22" t="s">
        <v>45</v>
      </c>
      <c r="G22" t="s">
        <v>46</v>
      </c>
      <c r="H22" s="8" t="s">
        <v>75</v>
      </c>
      <c r="I22" t="s">
        <v>81</v>
      </c>
      <c r="J22" s="11" t="s">
        <v>87</v>
      </c>
      <c r="K22" t="s">
        <v>89</v>
      </c>
      <c r="L22" s="7" t="str">
        <f t="shared" si="0"/>
        <v>NO</v>
      </c>
      <c r="M22" t="s">
        <v>93</v>
      </c>
    </row>
    <row r="23" spans="1:13" x14ac:dyDescent="0.35">
      <c r="A23" s="1">
        <v>45665</v>
      </c>
      <c r="B23" t="s">
        <v>7</v>
      </c>
      <c r="C23">
        <v>32200</v>
      </c>
      <c r="D23" t="s">
        <v>40</v>
      </c>
      <c r="E23" t="s">
        <v>47</v>
      </c>
      <c r="F23" t="s">
        <v>48</v>
      </c>
      <c r="G23" t="s">
        <v>49</v>
      </c>
      <c r="J23" s="10" t="s">
        <v>86</v>
      </c>
      <c r="K23" t="s">
        <v>90</v>
      </c>
      <c r="L23" s="7" t="str">
        <f t="shared" si="0"/>
        <v>YES</v>
      </c>
    </row>
    <row r="24" spans="1:13" x14ac:dyDescent="0.35">
      <c r="A24" s="1">
        <v>45667</v>
      </c>
      <c r="B24" t="s">
        <v>7</v>
      </c>
      <c r="C24">
        <v>40900</v>
      </c>
      <c r="D24" t="s">
        <v>40</v>
      </c>
      <c r="E24" t="s">
        <v>41</v>
      </c>
      <c r="F24" t="s">
        <v>42</v>
      </c>
      <c r="G24" t="s">
        <v>50</v>
      </c>
      <c r="H24" s="8" t="s">
        <v>74</v>
      </c>
      <c r="I24" t="s">
        <v>79</v>
      </c>
      <c r="J24" s="10" t="s">
        <v>86</v>
      </c>
      <c r="K24" t="s">
        <v>91</v>
      </c>
      <c r="L24" s="7" t="str">
        <f t="shared" si="0"/>
        <v>YES</v>
      </c>
      <c r="M24" t="s">
        <v>95</v>
      </c>
    </row>
    <row r="25" spans="1:13" x14ac:dyDescent="0.35">
      <c r="A25" s="1">
        <v>45669</v>
      </c>
      <c r="B25" t="s">
        <v>7</v>
      </c>
      <c r="C25">
        <v>19400</v>
      </c>
      <c r="D25" t="s">
        <v>40</v>
      </c>
      <c r="E25" t="s">
        <v>51</v>
      </c>
      <c r="F25" t="s">
        <v>52</v>
      </c>
      <c r="G25" t="s">
        <v>53</v>
      </c>
      <c r="H25" s="8" t="s">
        <v>76</v>
      </c>
      <c r="I25" t="s">
        <v>83</v>
      </c>
      <c r="J25" s="11" t="s">
        <v>87</v>
      </c>
      <c r="K25" t="s">
        <v>89</v>
      </c>
      <c r="L25" s="7" t="str">
        <f t="shared" si="0"/>
        <v>NO</v>
      </c>
      <c r="M25" t="s">
        <v>94</v>
      </c>
    </row>
    <row r="26" spans="1:13" x14ac:dyDescent="0.35">
      <c r="A26" s="1">
        <v>45670</v>
      </c>
      <c r="B26" t="s">
        <v>7</v>
      </c>
      <c r="C26">
        <v>26900</v>
      </c>
      <c r="D26" t="s">
        <v>40</v>
      </c>
      <c r="E26" t="s">
        <v>44</v>
      </c>
      <c r="F26" t="s">
        <v>45</v>
      </c>
      <c r="G26" t="s">
        <v>54</v>
      </c>
      <c r="H26" s="8" t="s">
        <v>75</v>
      </c>
      <c r="I26" t="s">
        <v>81</v>
      </c>
      <c r="J26" s="11" t="s">
        <v>87</v>
      </c>
      <c r="K26" t="s">
        <v>89</v>
      </c>
      <c r="L26" s="7" t="str">
        <f t="shared" si="0"/>
        <v>NO</v>
      </c>
      <c r="M26" t="s">
        <v>93</v>
      </c>
    </row>
    <row r="27" spans="1:13" x14ac:dyDescent="0.35">
      <c r="A27" s="1">
        <v>45672</v>
      </c>
      <c r="B27" t="s">
        <v>7</v>
      </c>
      <c r="C27">
        <v>29500</v>
      </c>
      <c r="D27" t="s">
        <v>40</v>
      </c>
      <c r="E27" t="s">
        <v>47</v>
      </c>
      <c r="F27" t="s">
        <v>48</v>
      </c>
      <c r="G27" t="s">
        <v>55</v>
      </c>
      <c r="J27" s="10" t="s">
        <v>86</v>
      </c>
      <c r="K27" t="s">
        <v>91</v>
      </c>
      <c r="L27" s="7" t="str">
        <f t="shared" si="0"/>
        <v>YES</v>
      </c>
    </row>
    <row r="28" spans="1:13" x14ac:dyDescent="0.35">
      <c r="A28" s="1">
        <v>45674</v>
      </c>
      <c r="B28" t="s">
        <v>7</v>
      </c>
      <c r="C28">
        <v>33600</v>
      </c>
      <c r="D28" t="s">
        <v>40</v>
      </c>
      <c r="E28" t="s">
        <v>51</v>
      </c>
      <c r="F28" t="s">
        <v>52</v>
      </c>
      <c r="G28" t="s">
        <v>56</v>
      </c>
      <c r="H28" s="8" t="s">
        <v>76</v>
      </c>
      <c r="I28" t="s">
        <v>83</v>
      </c>
      <c r="J28" s="11" t="s">
        <v>87</v>
      </c>
      <c r="K28" t="s">
        <v>89</v>
      </c>
      <c r="L28" s="7" t="str">
        <f t="shared" si="0"/>
        <v>NO</v>
      </c>
      <c r="M28" t="s">
        <v>94</v>
      </c>
    </row>
    <row r="29" spans="1:13" x14ac:dyDescent="0.35">
      <c r="A29" s="1">
        <v>45676</v>
      </c>
      <c r="B29" t="s">
        <v>7</v>
      </c>
      <c r="C29">
        <v>21200</v>
      </c>
      <c r="D29" t="s">
        <v>40</v>
      </c>
      <c r="E29" t="s">
        <v>41</v>
      </c>
      <c r="F29" t="s">
        <v>42</v>
      </c>
      <c r="G29" t="s">
        <v>57</v>
      </c>
      <c r="H29" s="8" t="s">
        <v>77</v>
      </c>
      <c r="I29" t="s">
        <v>82</v>
      </c>
      <c r="J29" s="11" t="s">
        <v>87</v>
      </c>
      <c r="K29" t="s">
        <v>89</v>
      </c>
      <c r="L29" s="7" t="str">
        <f t="shared" si="0"/>
        <v>NO</v>
      </c>
      <c r="M29" t="s">
        <v>92</v>
      </c>
    </row>
    <row r="30" spans="1:13" x14ac:dyDescent="0.35">
      <c r="A30" s="1">
        <v>45678</v>
      </c>
      <c r="B30" t="s">
        <v>7</v>
      </c>
      <c r="C30">
        <v>14500</v>
      </c>
      <c r="D30" t="s">
        <v>40</v>
      </c>
      <c r="E30" t="s">
        <v>44</v>
      </c>
      <c r="F30" t="s">
        <v>45</v>
      </c>
      <c r="G30" t="s">
        <v>11</v>
      </c>
      <c r="J30" s="10" t="s">
        <v>86</v>
      </c>
      <c r="K30" t="s">
        <v>91</v>
      </c>
      <c r="L30" s="7" t="str">
        <f t="shared" si="0"/>
        <v>YES</v>
      </c>
    </row>
    <row r="31" spans="1:13" x14ac:dyDescent="0.35">
      <c r="A31" s="1">
        <v>45680</v>
      </c>
      <c r="B31" t="s">
        <v>7</v>
      </c>
      <c r="C31">
        <v>27300</v>
      </c>
      <c r="D31" t="s">
        <v>40</v>
      </c>
      <c r="E31" t="s">
        <v>47</v>
      </c>
      <c r="F31" t="s">
        <v>48</v>
      </c>
      <c r="G31" t="s">
        <v>58</v>
      </c>
      <c r="H31" s="8" t="s">
        <v>75</v>
      </c>
      <c r="I31" t="s">
        <v>81</v>
      </c>
      <c r="J31" s="11" t="s">
        <v>87</v>
      </c>
      <c r="K31" t="s">
        <v>89</v>
      </c>
      <c r="L31" s="7" t="str">
        <f t="shared" si="0"/>
        <v>NO</v>
      </c>
      <c r="M31" t="s">
        <v>93</v>
      </c>
    </row>
    <row r="32" spans="1:13" x14ac:dyDescent="0.35">
      <c r="A32" s="1">
        <v>45682</v>
      </c>
      <c r="B32" t="s">
        <v>7</v>
      </c>
      <c r="C32">
        <v>16900</v>
      </c>
      <c r="D32" t="s">
        <v>40</v>
      </c>
      <c r="E32" t="s">
        <v>51</v>
      </c>
      <c r="F32" t="s">
        <v>52</v>
      </c>
      <c r="G32" t="s">
        <v>59</v>
      </c>
      <c r="H32" s="8" t="s">
        <v>78</v>
      </c>
      <c r="I32" t="s">
        <v>80</v>
      </c>
      <c r="J32" s="10" t="s">
        <v>86</v>
      </c>
      <c r="K32" t="s">
        <v>91</v>
      </c>
      <c r="L32" s="7" t="str">
        <f t="shared" si="0"/>
        <v>YES</v>
      </c>
      <c r="M32" t="s">
        <v>95</v>
      </c>
    </row>
    <row r="33" spans="1:13" x14ac:dyDescent="0.35">
      <c r="A33" s="1">
        <v>45683</v>
      </c>
      <c r="B33" t="s">
        <v>7</v>
      </c>
      <c r="C33">
        <v>25500</v>
      </c>
      <c r="D33" t="s">
        <v>40</v>
      </c>
      <c r="E33" t="s">
        <v>41</v>
      </c>
      <c r="F33" t="s">
        <v>42</v>
      </c>
      <c r="G33" t="s">
        <v>60</v>
      </c>
      <c r="H33" s="8" t="s">
        <v>77</v>
      </c>
      <c r="I33" t="s">
        <v>82</v>
      </c>
      <c r="J33" s="11" t="s">
        <v>87</v>
      </c>
      <c r="K33" t="s">
        <v>89</v>
      </c>
      <c r="L33" s="7" t="str">
        <f t="shared" si="0"/>
        <v>NO</v>
      </c>
      <c r="M33" t="s">
        <v>92</v>
      </c>
    </row>
    <row r="34" spans="1:13" x14ac:dyDescent="0.35">
      <c r="A34" s="1">
        <v>45684</v>
      </c>
      <c r="B34" t="s">
        <v>7</v>
      </c>
      <c r="C34">
        <v>38900</v>
      </c>
      <c r="D34" t="s">
        <v>40</v>
      </c>
      <c r="E34" t="s">
        <v>44</v>
      </c>
      <c r="F34" t="s">
        <v>45</v>
      </c>
      <c r="G34" t="s">
        <v>61</v>
      </c>
      <c r="J34" s="10" t="s">
        <v>86</v>
      </c>
      <c r="K34" t="s">
        <v>91</v>
      </c>
      <c r="L34" s="7" t="str">
        <f t="shared" si="0"/>
        <v>YES</v>
      </c>
    </row>
    <row r="35" spans="1:13" x14ac:dyDescent="0.35">
      <c r="A35" s="1">
        <v>45685</v>
      </c>
      <c r="B35" t="s">
        <v>7</v>
      </c>
      <c r="C35">
        <v>21900</v>
      </c>
      <c r="D35" t="s">
        <v>40</v>
      </c>
      <c r="E35" t="s">
        <v>47</v>
      </c>
      <c r="F35" t="s">
        <v>48</v>
      </c>
      <c r="G35" t="s">
        <v>34</v>
      </c>
      <c r="H35" s="8" t="s">
        <v>74</v>
      </c>
      <c r="I35" t="s">
        <v>79</v>
      </c>
      <c r="J35" s="10" t="s">
        <v>86</v>
      </c>
      <c r="K35" t="s">
        <v>91</v>
      </c>
      <c r="L35" s="7" t="str">
        <f t="shared" si="0"/>
        <v>YES</v>
      </c>
      <c r="M35" t="s">
        <v>95</v>
      </c>
    </row>
    <row r="36" spans="1:13" x14ac:dyDescent="0.35">
      <c r="A36" s="1">
        <v>45687</v>
      </c>
      <c r="B36" t="s">
        <v>7</v>
      </c>
      <c r="C36">
        <v>30100</v>
      </c>
      <c r="D36" t="s">
        <v>40</v>
      </c>
      <c r="E36" t="s">
        <v>51</v>
      </c>
      <c r="F36" t="s">
        <v>52</v>
      </c>
      <c r="G36" t="s">
        <v>53</v>
      </c>
      <c r="H36" s="8" t="s">
        <v>76</v>
      </c>
      <c r="I36" t="s">
        <v>83</v>
      </c>
      <c r="J36" s="11" t="s">
        <v>87</v>
      </c>
      <c r="K36" t="s">
        <v>89</v>
      </c>
      <c r="L36" s="7" t="str">
        <f t="shared" si="0"/>
        <v>NO</v>
      </c>
      <c r="M36" t="s">
        <v>94</v>
      </c>
    </row>
    <row r="37" spans="1:13" x14ac:dyDescent="0.35">
      <c r="A37" s="1">
        <v>45688</v>
      </c>
      <c r="B37" t="s">
        <v>7</v>
      </c>
      <c r="C37">
        <v>22100</v>
      </c>
      <c r="D37" t="s">
        <v>40</v>
      </c>
      <c r="E37" t="s">
        <v>41</v>
      </c>
      <c r="F37" t="s">
        <v>42</v>
      </c>
      <c r="G37" t="s">
        <v>62</v>
      </c>
      <c r="H37" s="8" t="s">
        <v>74</v>
      </c>
      <c r="I37" t="s">
        <v>79</v>
      </c>
      <c r="J37" s="10" t="s">
        <v>86</v>
      </c>
      <c r="K37" t="s">
        <v>91</v>
      </c>
      <c r="L37" s="7" t="str">
        <f t="shared" si="0"/>
        <v>YES</v>
      </c>
      <c r="M37" t="s">
        <v>95</v>
      </c>
    </row>
    <row r="38" spans="1:13" x14ac:dyDescent="0.35">
      <c r="A38" s="1">
        <v>45689</v>
      </c>
      <c r="B38" t="s">
        <v>7</v>
      </c>
      <c r="C38">
        <v>17900</v>
      </c>
      <c r="D38" t="s">
        <v>40</v>
      </c>
      <c r="E38" t="s">
        <v>44</v>
      </c>
      <c r="F38" t="s">
        <v>45</v>
      </c>
      <c r="G38" t="s">
        <v>63</v>
      </c>
      <c r="J38" s="10" t="s">
        <v>86</v>
      </c>
      <c r="K38" t="s">
        <v>90</v>
      </c>
      <c r="L38" s="7" t="str">
        <f t="shared" si="0"/>
        <v>YES</v>
      </c>
    </row>
    <row r="39" spans="1:13" x14ac:dyDescent="0.35">
      <c r="A39" s="1">
        <v>45690</v>
      </c>
      <c r="B39" t="s">
        <v>7</v>
      </c>
      <c r="C39">
        <v>27500</v>
      </c>
      <c r="D39" t="s">
        <v>40</v>
      </c>
      <c r="E39" t="s">
        <v>47</v>
      </c>
      <c r="F39" t="s">
        <v>48</v>
      </c>
      <c r="G39" t="s">
        <v>64</v>
      </c>
      <c r="H39" s="8" t="s">
        <v>74</v>
      </c>
      <c r="I39" t="s">
        <v>79</v>
      </c>
      <c r="J39" s="10" t="s">
        <v>86</v>
      </c>
      <c r="K39" t="s">
        <v>91</v>
      </c>
      <c r="L39" s="7" t="str">
        <f t="shared" si="0"/>
        <v>YES</v>
      </c>
      <c r="M39" t="s">
        <v>95</v>
      </c>
    </row>
    <row r="40" spans="1:13" x14ac:dyDescent="0.35">
      <c r="A40" s="1">
        <v>45691</v>
      </c>
      <c r="B40" t="s">
        <v>7</v>
      </c>
      <c r="C40">
        <v>18000</v>
      </c>
      <c r="D40" t="s">
        <v>40</v>
      </c>
      <c r="E40" t="s">
        <v>51</v>
      </c>
      <c r="F40" t="s">
        <v>52</v>
      </c>
      <c r="G40" t="s">
        <v>65</v>
      </c>
      <c r="H40" s="8" t="s">
        <v>75</v>
      </c>
      <c r="I40" t="s">
        <v>81</v>
      </c>
      <c r="J40" s="11" t="s">
        <v>87</v>
      </c>
      <c r="K40" t="s">
        <v>89</v>
      </c>
      <c r="L40" s="7" t="str">
        <f t="shared" si="0"/>
        <v>NO</v>
      </c>
      <c r="M40" t="s">
        <v>93</v>
      </c>
    </row>
    <row r="41" spans="1:13" x14ac:dyDescent="0.35">
      <c r="A41" s="1">
        <v>45692</v>
      </c>
      <c r="B41" t="s">
        <v>7</v>
      </c>
      <c r="C41">
        <v>26800</v>
      </c>
      <c r="D41" t="s">
        <v>40</v>
      </c>
      <c r="E41" t="s">
        <v>41</v>
      </c>
      <c r="F41" t="s">
        <v>42</v>
      </c>
      <c r="G41" t="s">
        <v>66</v>
      </c>
      <c r="H41" s="8" t="s">
        <v>75</v>
      </c>
      <c r="I41" t="s">
        <v>81</v>
      </c>
      <c r="J41" s="11" t="s">
        <v>87</v>
      </c>
      <c r="K41" t="s">
        <v>89</v>
      </c>
      <c r="L41" s="7" t="str">
        <f t="shared" si="0"/>
        <v>NO</v>
      </c>
      <c r="M41" t="s">
        <v>93</v>
      </c>
    </row>
  </sheetData>
  <autoFilter ref="A1:M41" xr:uid="{DBCE0F53-3C34-4583-B5E6-8A72C262E4BE}"/>
  <dataValidations count="3">
    <dataValidation type="list" allowBlank="1" showInputMessage="1" showErrorMessage="1" sqref="H2:H1048576" xr:uid="{EE68E2BE-5AA3-469C-903D-7E39854ABA66}">
      <formula1>"velocity,structuring,pass_through,round_trip,offshore_layering,high_risk_jurisdiction"</formula1>
    </dataValidation>
    <dataValidation type="list" allowBlank="1" showInputMessage="1" showErrorMessage="1" sqref="J2:J41" xr:uid="{5B2E8399-4C32-4C3D-B60C-A278A4E55992}">
      <formula1>"CLEAR,MONITOR,ESCALATE"</formula1>
    </dataValidation>
    <dataValidation type="list" allowBlank="1" showInputMessage="1" showErrorMessage="1" sqref="L2:L41" xr:uid="{888B3C69-231F-4CFC-976E-ECBB59AF7D67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01_Raw_Transactions</vt:lpstr>
      <vt:lpstr>02_Analyst_Review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Asief Mahmud</dc:creator>
  <cp:lastModifiedBy>Md Asief Mahmud</cp:lastModifiedBy>
  <dcterms:created xsi:type="dcterms:W3CDTF">2015-06-05T18:17:20Z</dcterms:created>
  <dcterms:modified xsi:type="dcterms:W3CDTF">2026-01-16T06:18:35Z</dcterms:modified>
</cp:coreProperties>
</file>